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D:\UST Mido\3rd year , 1st sem\SWGCG 301\SWGCG301-Graphics-Project\"/>
    </mc:Choice>
  </mc:AlternateContent>
  <xr:revisionPtr revIDLastSave="0" documentId="13_ncr:1_{FEA06C87-B485-4DF0-ADA5-CA8101048031}" xr6:coauthVersionLast="47" xr6:coauthVersionMax="47" xr10:uidLastSave="{00000000-0000-0000-0000-000000000000}"/>
  <bookViews>
    <workbookView xWindow="4764" yWindow="3540" windowWidth="17280" windowHeight="9420" activeTab="1" xr2:uid="{00000000-000D-0000-FFFF-FFFF00000000}"/>
  </bookViews>
  <sheets>
    <sheet name="Read me" sheetId="1" r:id="rId1"/>
    <sheet name="Tasks" sheetId="2" r:id="rId2"/>
    <sheet name="Workload" sheetId="3" r:id="rId3"/>
    <sheet name="Milestones" sheetId="4" r:id="rId4"/>
  </sheets>
  <definedNames>
    <definedName name="_xlnm._FilterDatabase" localSheetId="1" hidden="1">Tasks!$A$1:$I$102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8" i="3" l="1"/>
  <c r="D28" i="3"/>
  <c r="C28" i="3"/>
  <c r="B28" i="3"/>
  <c r="E27" i="3"/>
  <c r="D27" i="3"/>
  <c r="C27" i="3"/>
  <c r="B27" i="3"/>
  <c r="F27" i="3" s="1"/>
  <c r="E26" i="3"/>
  <c r="D26" i="3"/>
  <c r="C26" i="3"/>
  <c r="B26" i="3"/>
  <c r="F26" i="3" s="1"/>
  <c r="E25" i="3"/>
  <c r="D25" i="3"/>
  <c r="C25" i="3"/>
  <c r="B25" i="3"/>
  <c r="E24" i="3"/>
  <c r="D24" i="3"/>
  <c r="C24" i="3"/>
  <c r="B24" i="3"/>
  <c r="F24" i="3" s="1"/>
  <c r="E23" i="3"/>
  <c r="D23" i="3"/>
  <c r="C23" i="3"/>
  <c r="B23" i="3"/>
  <c r="E22" i="3"/>
  <c r="D22" i="3"/>
  <c r="C22" i="3"/>
  <c r="B22" i="3"/>
  <c r="E21" i="3"/>
  <c r="D21" i="3"/>
  <c r="C21" i="3"/>
  <c r="B21" i="3"/>
  <c r="E20" i="3"/>
  <c r="D20" i="3"/>
  <c r="C20" i="3"/>
  <c r="B20" i="3"/>
  <c r="E19" i="3"/>
  <c r="D19" i="3"/>
  <c r="C19" i="3"/>
  <c r="B19" i="3"/>
  <c r="E18" i="3"/>
  <c r="D18" i="3"/>
  <c r="C18" i="3"/>
  <c r="B18" i="3"/>
  <c r="F18" i="3" s="1"/>
  <c r="E17" i="3"/>
  <c r="D17" i="3"/>
  <c r="C17" i="3"/>
  <c r="B17" i="3"/>
  <c r="E16" i="3"/>
  <c r="D16" i="3"/>
  <c r="C16" i="3"/>
  <c r="B16" i="3"/>
  <c r="E15" i="3"/>
  <c r="D15" i="3"/>
  <c r="C15" i="3"/>
  <c r="B15" i="3"/>
  <c r="F15" i="3" s="1"/>
  <c r="E14" i="3"/>
  <c r="D14" i="3"/>
  <c r="C14" i="3"/>
  <c r="B14" i="3"/>
  <c r="E13" i="3"/>
  <c r="D13" i="3"/>
  <c r="C13" i="3"/>
  <c r="B13" i="3"/>
  <c r="I7" i="3"/>
  <c r="E7" i="3"/>
  <c r="D7" i="3"/>
  <c r="B7" i="3"/>
  <c r="H7" i="3" s="1"/>
  <c r="I6" i="3"/>
  <c r="H6" i="3"/>
  <c r="E6" i="3"/>
  <c r="F6" i="3" s="1"/>
  <c r="D6" i="3"/>
  <c r="B6" i="3"/>
  <c r="I5" i="3"/>
  <c r="E5" i="3"/>
  <c r="D5" i="3"/>
  <c r="B5" i="3"/>
  <c r="I4" i="3"/>
  <c r="E4" i="3"/>
  <c r="D4" i="3"/>
  <c r="B4" i="3"/>
  <c r="H4" i="3" s="1"/>
  <c r="F25" i="3" l="1"/>
  <c r="F28" i="3"/>
  <c r="F23" i="3"/>
  <c r="F5" i="3"/>
  <c r="F14" i="3"/>
  <c r="F17" i="3"/>
  <c r="H5" i="3"/>
  <c r="F21" i="3"/>
  <c r="F4" i="3"/>
  <c r="G7" i="3"/>
  <c r="D8" i="3"/>
  <c r="B29" i="3"/>
  <c r="F19" i="3"/>
  <c r="F22" i="3"/>
  <c r="C29" i="3"/>
  <c r="E29" i="3"/>
  <c r="D29" i="3"/>
  <c r="G6" i="3"/>
  <c r="F16" i="3"/>
  <c r="F20" i="3"/>
  <c r="H8" i="3"/>
  <c r="I8" i="3"/>
  <c r="F7" i="3"/>
  <c r="B8" i="3"/>
  <c r="C5" i="3" s="1"/>
  <c r="F13" i="3"/>
  <c r="E8" i="3"/>
  <c r="F8" i="3" s="1"/>
  <c r="G5" i="3"/>
  <c r="G4" i="3"/>
  <c r="C6" i="3" l="1"/>
  <c r="G8" i="3"/>
  <c r="F29" i="3"/>
  <c r="C4" i="3"/>
  <c r="C7" i="3"/>
  <c r="C8" i="3" l="1"/>
</calcChain>
</file>

<file path=xl/sharedStrings.xml><?xml version="1.0" encoding="utf-8"?>
<sst xmlns="http://schemas.openxmlformats.org/spreadsheetml/2006/main" count="562" uniqueCount="232">
  <si>
    <t>SWGCG 301 - Phase 2 work distribution</t>
  </si>
  <si>
    <t>Deadline: Sat 5 Dec 2026 23:59 | Discussion: Sun 6 Dec 2026 16:00 | Proposal: Sat 28 Nov 2026 23:59</t>
  </si>
  <si>
    <t>Team: Mohamed (leader, the only one who submits on Moodle), Nour, Rahma, Hesham</t>
  </si>
  <si>
    <t>How to use</t>
  </si>
  <si>
    <t>1. Go to the Tasks sheet. Only change the Status column (dropdown) and Notes. Do not edit Weight/Owner without telling the team.</t>
  </si>
  <si>
    <t>2. Weight = effort points (1 trivial, 2 easy, 3 medium, 4 hard, 5 very hard). It is an estimate, not a grade.</t>
  </si>
  <si>
    <t>3. A task counts as finished work only when Status = Done. The Workload sheet updates automatically.</t>
  </si>
  <si>
    <t>4. If you swap a task with someone, change the Owner cell and tell the team. Totals recalculate.</t>
  </si>
  <si>
    <t>5. To sort by ID low to high: click the filter arrow on the ID header and choose Sort Smallest to Largest (IDs are plain numbers 1, 2, 3... in section order). Sort by Owner, Status or Target date the same way.</t>
  </si>
  <si>
    <t>6. Section 15 (Extras) are tasks added on top of the project document's requirements.</t>
  </si>
  <si>
    <t>7. To share online: upload this file to Google Drive, open it with Google Sheets, then Share with the team (Editor).</t>
  </si>
  <si>
    <t>ID</t>
  </si>
  <si>
    <t>Section</t>
  </si>
  <si>
    <t>Task</t>
  </si>
  <si>
    <t>Weight</t>
  </si>
  <si>
    <t>Owner</t>
  </si>
  <si>
    <t>Depends on</t>
  </si>
  <si>
    <t>Target date</t>
  </si>
  <si>
    <t>Status</t>
  </si>
  <si>
    <t>Notes</t>
  </si>
  <si>
    <t>0. Proposal</t>
  </si>
  <si>
    <t>Pick the game idea (everyone proposes, leader decides)</t>
  </si>
  <si>
    <t>Mohamed</t>
  </si>
  <si>
    <t>Not started</t>
  </si>
  <si>
    <t>Write game name + description paragraph (how it is played, goal)</t>
  </si>
  <si>
    <t>Nour</t>
  </si>
  <si>
    <t>1</t>
  </si>
  <si>
    <t>Make the example image for the proposal</t>
  </si>
  <si>
    <t>Rahma</t>
  </si>
  <si>
    <t>Add member names, IDs and team number</t>
  </si>
  <si>
    <t>Submit proposal on Moodle (leader only)</t>
  </si>
  <si>
    <t>2, 3, 4</t>
  </si>
  <si>
    <t>1. Project setup</t>
  </si>
  <si>
    <t>Restructure folders (engine/, assets/)</t>
  </si>
  <si>
    <t>Update CMakeLists.txt (new sources, copy assets next to the exe)</t>
  </si>
  <si>
    <t>6</t>
  </si>
  <si>
    <t>Add JSON parser (nlohmann/json)</t>
  </si>
  <si>
    <t>Add stb_image</t>
  </si>
  <si>
    <t>Hesham</t>
  </si>
  <si>
    <t>Add tinyobjloader and GLM</t>
  </si>
  <si>
    <t>Decide what to do with the Phase 1 shapes</t>
  </si>
  <si>
    <t>Update .gitignore and commit the project PDF</t>
  </si>
  <si>
    <t>Agree on a branch strategy</t>
  </si>
  <si>
    <t>2. Core ECS</t>
  </si>
  <si>
    <t>Component abstract base class</t>
  </si>
  <si>
    <t>Entity class (name, parent, local transform, components)</t>
  </si>
  <si>
    <t>14</t>
  </si>
  <si>
    <t>Entity methods: addComponent, getComponent, getLocalToWorldMatrix</t>
  </si>
  <si>
    <t>15</t>
  </si>
  <si>
    <t>World class (add, delete, lookup)</t>
  </si>
  <si>
    <t>Component factory/registry by type name</t>
  </si>
  <si>
    <t>Deferred entity deletion</t>
  </si>
  <si>
    <t>17</t>
  </si>
  <si>
    <t>3. Assets</t>
  </si>
  <si>
    <t>ShaderProgram wrapper (uniform setters + location cache)</t>
  </si>
  <si>
    <t>7</t>
  </si>
  <si>
    <t>Texture2D loader (stb_image, mipmaps)</t>
  </si>
  <si>
    <t>9</t>
  </si>
  <si>
    <t>Sampler (filtering, wrapping, anisotropy)</t>
  </si>
  <si>
    <t>Mesh (VBO, EBO, VAO, attributes)</t>
  </si>
  <si>
    <t>OBJ model loading</t>
  </si>
  <si>
    <t>23, 10</t>
  </si>
  <si>
    <t>Mesh deserialization from the scene file</t>
  </si>
  <si>
    <t>23, 24</t>
  </si>
  <si>
    <t>Deserialization functions for all assets</t>
  </si>
  <si>
    <t>20-23</t>
  </si>
  <si>
    <t>AssetLoader&lt;T&gt; template singleton (name -&gt; asset map)</t>
  </si>
  <si>
    <t>Free GPU resources on exit / scene change</t>
  </si>
  <si>
    <t>27</t>
  </si>
  <si>
    <t>4. Pipeline state &amp; materials</t>
  </si>
  <si>
    <t>PipelineState struct (culling, depth, blending, color/depth masks)</t>
  </si>
  <si>
    <t>PipelineState::setup() applies state to OpenGL</t>
  </si>
  <si>
    <t>29</t>
  </si>
  <si>
    <t>PipelineState deserialization</t>
  </si>
  <si>
    <t>Material abstract base class</t>
  </si>
  <si>
    <t>30</t>
  </si>
  <si>
    <t>TintedMaterial</t>
  </si>
  <si>
    <t>32, 20</t>
  </si>
  <si>
    <t>TexturedMaterial</t>
  </si>
  <si>
    <t>32, 21, 22</t>
  </si>
  <si>
    <t>Material asset loader with factory by type name</t>
  </si>
  <si>
    <t>27, 33, 34</t>
  </si>
  <si>
    <t>5. Components</t>
  </si>
  <si>
    <t>MeshRendererComponent</t>
  </si>
  <si>
    <t>14, 23, 32</t>
  </si>
  <si>
    <t>CameraComponent (type, FOV, ortho height, near/far)</t>
  </si>
  <si>
    <t>Camera view / projection / view-projection matrices</t>
  </si>
  <si>
    <t>37</t>
  </si>
  <si>
    <t>FreeCameraControllerComponent (parameters)</t>
  </si>
  <si>
    <t>Optional helper components (rotation / movement)</t>
  </si>
  <si>
    <t>6. Forward renderer</t>
  </si>
  <si>
    <t>Loop entities, find camera and drawables</t>
  </si>
  <si>
    <t>36, 37, 17</t>
  </si>
  <si>
    <t>Compute distance from the camera</t>
  </si>
  <si>
    <t>41</t>
  </si>
  <si>
    <t>Split into opaque and transparent lists</t>
  </si>
  <si>
    <t>32, 41</t>
  </si>
  <si>
    <t>Sort the opaque list</t>
  </si>
  <si>
    <t>43</t>
  </si>
  <si>
    <t>Draw order: opaque, sky, transparent far-to-near</t>
  </si>
  <si>
    <t>43, 51</t>
  </si>
  <si>
    <t>Per-object draw (material setup, MVP uniform, draw mesh)</t>
  </si>
  <si>
    <t>Handle missing camera and window resize</t>
  </si>
  <si>
    <t>Correct clears (color, depth, depth mask)</t>
  </si>
  <si>
    <t>7. Sky</t>
  </si>
  <si>
    <t>Sky sphere/cube mesh + sky texture</t>
  </si>
  <si>
    <t>21, 23</t>
  </si>
  <si>
    <t>Sky shader (follows camera position)</t>
  </si>
  <si>
    <t>20</t>
  </si>
  <si>
    <t>Draw at far plane (depth trick)</t>
  </si>
  <si>
    <t>50</t>
  </si>
  <si>
    <t>Sky pipeline state</t>
  </si>
  <si>
    <t>8. Post-processing</t>
  </si>
  <si>
    <t>Framebuffer (color + depth attachments)</t>
  </si>
  <si>
    <t>Render the scene into the framebuffer</t>
  </si>
  <si>
    <t>53, 45</t>
  </si>
  <si>
    <t>Fullscreen triangle</t>
  </si>
  <si>
    <t>Post-process shader(s)</t>
  </si>
  <si>
    <t>55</t>
  </si>
  <si>
    <t>Scene-configurable effects (optional chaining)</t>
  </si>
  <si>
    <t>56, 69</t>
  </si>
  <si>
    <t>Resize the framebuffer on window resize</t>
  </si>
  <si>
    <t>53</t>
  </si>
  <si>
    <t>9. Free camera system</t>
  </si>
  <si>
    <t>Mouse look (yaw, pitch, clamp)</t>
  </si>
  <si>
    <t>39</t>
  </si>
  <si>
    <t>WASD + Q/E movement relative to camera</t>
  </si>
  <si>
    <t>Shift for speed, scroll for zoom</t>
  </si>
  <si>
    <t>60</t>
  </si>
  <si>
    <t>Cursor lock / unlock</t>
  </si>
  <si>
    <t>59</t>
  </si>
  <si>
    <t>10. Application</t>
  </si>
  <si>
    <t>Window setup, main loop, delta time</t>
  </si>
  <si>
    <t>Scene loading and switching</t>
  </si>
  <si>
    <t>68</t>
  </si>
  <si>
    <t>Clean shutdown (destroy world and assets)</t>
  </si>
  <si>
    <t>28, 17</t>
  </si>
  <si>
    <t>11. Scene file &amp; deserialization</t>
  </si>
  <si>
    <t>Define the JSON scene schema</t>
  </si>
  <si>
    <t>Parse the assets section and load assets</t>
  </si>
  <si>
    <t>66, 27</t>
  </si>
  <si>
    <t>Parse entities and scene graph (parent resolution)</t>
  </si>
  <si>
    <t>66, 18</t>
  </si>
  <si>
    <t>Configure renderer from the file (sky, post-process)</t>
  </si>
  <si>
    <t>Section 6, Section 7, Section 8</t>
  </si>
  <si>
    <t>Scene path from command line / config</t>
  </si>
  <si>
    <t>64</t>
  </si>
  <si>
    <t>Clear error messages (missing asset, bad JSON, unknown component)</t>
  </si>
  <si>
    <t>67, 68</t>
  </si>
  <si>
    <t>12. Test scenes</t>
  </si>
  <si>
    <t>Basic scene: tinted and textured objects</t>
  </si>
  <si>
    <t>Hierarchy scene (parent moves, children follow)</t>
  </si>
  <si>
    <t>Transparency scene (blended objects)</t>
  </si>
  <si>
    <t>45</t>
  </si>
  <si>
    <t>Sky + post-process scene</t>
  </si>
  <si>
    <t>Section 7, Section 8</t>
  </si>
  <si>
    <t>Demo: change a scene by editing JSON only</t>
  </si>
  <si>
    <t>72</t>
  </si>
  <si>
    <t>Gather textures and models</t>
  </si>
  <si>
    <t>13. Testing &amp; cleanup</t>
  </si>
  <si>
    <t>Test all pipeline state options</t>
  </si>
  <si>
    <t>30, Section 12</t>
  </si>
  <si>
    <t>Test transparent sorting with overlapping objects</t>
  </si>
  <si>
    <t>74</t>
  </si>
  <si>
    <t>Test window resize / aspect ratio</t>
  </si>
  <si>
    <t>47, 58</t>
  </si>
  <si>
    <t>Test perspective and orthographic cameras</t>
  </si>
  <si>
    <t>38</t>
  </si>
  <si>
    <t>OpenGL debug callback and error checks</t>
  </si>
  <si>
    <t>63</t>
  </si>
  <si>
    <t>Check for leaks (CPU and GPU)</t>
  </si>
  <si>
    <t>28</t>
  </si>
  <si>
    <t>Verify a clean clone builds (CMake, vendor libs, asset paths)</t>
  </si>
  <si>
    <t>14. Documentation &amp; delivery</t>
  </si>
  <si>
    <t>Comment your own code clearly (Mohamed)</t>
  </si>
  <si>
    <t>Comment your own code clearly (Nour)</t>
  </si>
  <si>
    <t>Comment your own code clearly (Rahma)</t>
  </si>
  <si>
    <t>Comment your own code clearly (Hesham)</t>
  </si>
  <si>
    <t>README: architecture, scene format, controls, build</t>
  </si>
  <si>
    <t>Study the whole pipeline for the discussion (Nour)</t>
  </si>
  <si>
    <t>Study the whole pipeline for the discussion (Rahma)</t>
  </si>
  <si>
    <t>Study the whole pipeline for the discussion (Hesham)</t>
  </si>
  <si>
    <t>Remove build files and executables (out/, .vs/, exe)</t>
  </si>
  <si>
    <t>Zip and submit on Moodle (leader only)</t>
  </si>
  <si>
    <t>93</t>
  </si>
  <si>
    <t>Prepare the discussion demo (2-3 scenes, who explains what)</t>
  </si>
  <si>
    <t>15. Extras (added)</t>
  </si>
  <si>
    <t>Kickoff: agree on the interfaces (Component, AssetLoader, Material, Mesh headers) before coding</t>
  </si>
  <si>
    <t>Fix asset paths: copy assets post-build so the exe works from any working directory</t>
  </si>
  <si>
    <t>Git conventions + add teammates as GitHub collaborators (commit under your own name)</t>
  </si>
  <si>
    <t>Weekly integration build + merge check</t>
  </si>
  <si>
    <t>Transform math: rotation representation, parent-chain correctness test</t>
  </si>
  <si>
    <t>16</t>
  </si>
  <si>
    <t>Phase 3 readiness: vertex normals/tangents and an extensible material/uniform interface</t>
  </si>
  <si>
    <t>23, 32</t>
  </si>
  <si>
    <t>Workload per member</t>
  </si>
  <si>
    <t>Member</t>
  </si>
  <si>
    <t>Total points</t>
  </si>
  <si>
    <t>Share</t>
  </si>
  <si>
    <t>Tasks</t>
  </si>
  <si>
    <t>Done points</t>
  </si>
  <si>
    <t>Done %</t>
  </si>
  <si>
    <t>Remaining points</t>
  </si>
  <si>
    <t>Core points (sections 0-14)</t>
  </si>
  <si>
    <t>Extra points (section 15)</t>
  </si>
  <si>
    <t>Team</t>
  </si>
  <si>
    <t>Points per section and member</t>
  </si>
  <si>
    <t>Section total</t>
  </si>
  <si>
    <t>Total</t>
  </si>
  <si>
    <t>Date</t>
  </si>
  <si>
    <t>Milestone</t>
  </si>
  <si>
    <t>Who</t>
  </si>
  <si>
    <t>Kickoff done: interfaces agreed, collaborators added</t>
  </si>
  <si>
    <t>Project restructured, libraries added, CMake builds</t>
  </si>
  <si>
    <t>Mohamed, Hesham</t>
  </si>
  <si>
    <t>ECS core compiles; assets and models gathered</t>
  </si>
  <si>
    <t>Mohamed, Rahma</t>
  </si>
  <si>
    <t>Assets, materials, pipeline state and components code-complete</t>
  </si>
  <si>
    <t>Nour, Rahma, Hesham</t>
  </si>
  <si>
    <t>Forward renderer + sky + scene loading draw a scene from JSON</t>
  </si>
  <si>
    <t>Rahma, Nour, Mohamed</t>
  </si>
  <si>
    <t>Post-processing and scene-configured renderer working</t>
  </si>
  <si>
    <t>Hesham, Mohamed</t>
  </si>
  <si>
    <t>Proposal submitted on Moodle</t>
  </si>
  <si>
    <t>All test scenes working</t>
  </si>
  <si>
    <t>Hesham, Rahma</t>
  </si>
  <si>
    <t>Testing finished, bugs fixed</t>
  </si>
  <si>
    <t>Everyone</t>
  </si>
  <si>
    <t>Code freeze: comments, README, clean-clone build</t>
  </si>
  <si>
    <t>Zip and submit (one-day buffer)</t>
  </si>
  <si>
    <t>Phase 2 deadline 23:59</t>
  </si>
  <si>
    <t>Phase 2 discussion 16:00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</si>
</sst>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 mmm\ yyyy"/>
    <numFmt numFmtId="166" formatCode="0.0%"/>
    <numFmt numFmtId="167" formatCode="ddd\ dd\ mmm\ yyyy"/>
  </numFmts>
  <fonts count="6" x14ac:knownFonts="1">
    <font>
      <sz val="11"/>
      <color theme="1"/>
      <name val="Calibri"/>
      <family val="2"/>
      <scheme val="minor"/>
    </font>
    <font>
      <b/>
      <sz val="14"/>
      <name val="Arial"/>
    </font>
    <font>
      <sz val="10"/>
      <name val="Arial"/>
    </font>
    <font>
      <b/>
      <sz val="10"/>
      <name val="Arial"/>
    </font>
    <font>
      <b/>
      <sz val="10"/>
      <color rgb="FFFFFFFF"/>
      <name val="Arial"/>
    </font>
    <font>
      <b/>
      <sz val="12"/>
      <name val="Arial"/>
    </font>
  </fonts>
  <fills count="7">
    <fill>
      <patternFill patternType="none"/>
    </fill>
    <fill>
      <patternFill patternType="gray125"/>
    </fill>
    <fill>
      <patternFill patternType="solid">
        <fgColor rgb="FF1F3864"/>
      </patternFill>
    </fill>
    <fill>
      <patternFill patternType="solid">
        <fgColor rgb="FFFFE699"/>
      </patternFill>
    </fill>
    <fill>
      <patternFill patternType="solid">
        <fgColor rgb="FFC6E0B4"/>
      </patternFill>
    </fill>
    <fill>
      <patternFill patternType="solid">
        <fgColor rgb="FFF8CBAD"/>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165" fontId="2" fillId="0" borderId="1" xfId="0" applyNumberFormat="1" applyFont="1" applyBorder="1" applyAlignment="1">
      <alignment horizontal="center" vertical="center"/>
    </xf>
    <xf numFmtId="0" fontId="2" fillId="3" borderId="1" xfId="0" applyFont="1" applyFill="1" applyBorder="1"/>
    <xf numFmtId="0" fontId="2" fillId="0" borderId="1" xfId="0" applyFont="1" applyBorder="1" applyAlignment="1">
      <alignment horizontal="center"/>
    </xf>
    <xf numFmtId="166" fontId="2" fillId="0" borderId="1" xfId="0" applyNumberFormat="1" applyFont="1" applyBorder="1" applyAlignment="1">
      <alignment horizontal="center"/>
    </xf>
    <xf numFmtId="0" fontId="2" fillId="4" borderId="1" xfId="0" applyFont="1" applyFill="1" applyBorder="1"/>
    <xf numFmtId="0" fontId="2" fillId="5" borderId="1" xfId="0" applyFont="1" applyFill="1" applyBorder="1"/>
    <xf numFmtId="0" fontId="2" fillId="6" borderId="1" xfId="0" applyFont="1" applyFill="1" applyBorder="1"/>
    <xf numFmtId="0" fontId="3" fillId="0" borderId="1" xfId="0" applyFont="1" applyBorder="1"/>
    <xf numFmtId="0" fontId="3" fillId="0" borderId="1" xfId="0" applyFont="1" applyBorder="1" applyAlignment="1">
      <alignment horizontal="center"/>
    </xf>
    <xf numFmtId="166" fontId="3" fillId="0" borderId="1" xfId="0" applyNumberFormat="1" applyFont="1" applyBorder="1" applyAlignment="1">
      <alignment horizontal="center"/>
    </xf>
    <xf numFmtId="0" fontId="5" fillId="0" borderId="0" xfId="0" applyFont="1"/>
    <xf numFmtId="0" fontId="4" fillId="2" borderId="1" xfId="0" applyFont="1" applyFill="1" applyBorder="1" applyAlignment="1">
      <alignment horizontal="center"/>
    </xf>
    <xf numFmtId="0" fontId="2" fillId="0" borderId="1" xfId="0" applyFont="1" applyBorder="1"/>
    <xf numFmtId="167" fontId="2" fillId="0" borderId="1" xfId="0" applyNumberFormat="1" applyFont="1" applyBorder="1"/>
    <xf numFmtId="0" fontId="2"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11">
    <dxf>
      <fill>
        <patternFill patternType="solid">
          <fgColor rgb="FFFFE699"/>
          <bgColor rgb="FFFFE699"/>
        </patternFill>
      </fill>
    </dxf>
    <dxf>
      <fill>
        <patternFill patternType="solid">
          <fgColor rgb="FFFFE699"/>
          <bgColor rgb="FFFFE699"/>
        </patternFill>
      </fill>
    </dxf>
    <dxf>
      <font>
        <b/>
        <color rgb="FFC00000"/>
        <name val="Arial"/>
      </font>
    </dxf>
    <dxf>
      <fill>
        <patternFill patternType="solid">
          <fgColor rgb="FFF4B084"/>
          <bgColor rgb="FFF4B084"/>
        </patternFill>
      </fill>
    </dxf>
    <dxf>
      <fill>
        <patternFill patternType="solid">
          <fgColor rgb="FFBDD7EE"/>
          <bgColor rgb="FFBDD7EE"/>
        </patternFill>
      </fill>
    </dxf>
    <dxf>
      <fill>
        <patternFill patternType="solid">
          <fgColor rgb="FFFFE699"/>
          <bgColor rgb="FFFFE699"/>
        </patternFill>
      </fill>
    </dxf>
    <dxf>
      <fill>
        <patternFill patternType="solid">
          <fgColor rgb="FFA9D08E"/>
          <bgColor rgb="FFA9D08E"/>
        </patternFill>
      </fill>
    </dxf>
    <dxf>
      <fill>
        <patternFill patternType="solid">
          <fgColor rgb="FFBDD7EE"/>
          <bgColor rgb="FFBDD7EE"/>
        </patternFill>
      </fill>
    </dxf>
    <dxf>
      <fill>
        <patternFill patternType="solid">
          <fgColor rgb="FFF8CBAD"/>
          <bgColor rgb="FFF8CBAD"/>
        </patternFill>
      </fill>
    </dxf>
    <dxf>
      <fill>
        <patternFill patternType="solid">
          <fgColor rgb="FFC6E0B4"/>
          <bgColor rgb="FFC6E0B4"/>
        </patternFill>
      </fill>
    </dxf>
    <dxf>
      <fill>
        <patternFill patternType="solid">
          <fgColor rgb="FFFFE699"/>
          <b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defaultRowHeight="14.4" x14ac:dyDescent="0.3"/>
  <cols>
    <col min="1" max="1" width="130" customWidth="1"/>
  </cols>
  <sheetData>
    <row r="1" spans="1:1" ht="17.399999999999999" x14ac:dyDescent="0.3">
      <c r="A1" s="1" t="s">
        <v>0</v>
      </c>
    </row>
    <row r="2" spans="1:1" x14ac:dyDescent="0.3">
      <c r="A2" s="2" t="s">
        <v>1</v>
      </c>
    </row>
    <row r="3" spans="1:1" x14ac:dyDescent="0.3">
      <c r="A3" s="2" t="s">
        <v>2</v>
      </c>
    </row>
    <row r="4" spans="1:1" x14ac:dyDescent="0.3">
      <c r="A4" s="2"/>
    </row>
    <row r="5" spans="1:1" x14ac:dyDescent="0.3">
      <c r="A5" s="3" t="s">
        <v>3</v>
      </c>
    </row>
    <row r="6" spans="1:1" x14ac:dyDescent="0.3">
      <c r="A6" s="2" t="s">
        <v>4</v>
      </c>
    </row>
    <row r="7" spans="1:1" x14ac:dyDescent="0.3">
      <c r="A7" s="2" t="s">
        <v>5</v>
      </c>
    </row>
    <row r="8" spans="1:1" x14ac:dyDescent="0.3">
      <c r="A8" s="2" t="s">
        <v>6</v>
      </c>
    </row>
    <row r="9" spans="1:1" x14ac:dyDescent="0.3">
      <c r="A9" s="2" t="s">
        <v>7</v>
      </c>
    </row>
    <row r="10" spans="1:1" x14ac:dyDescent="0.3">
      <c r="A10" s="2" t="s">
        <v>8</v>
      </c>
    </row>
    <row r="11" spans="1:1" x14ac:dyDescent="0.3">
      <c r="A11" s="2" t="s">
        <v>9</v>
      </c>
    </row>
    <row r="12" spans="1:1" x14ac:dyDescent="0.3">
      <c r="A12"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2"/>
  <sheetViews>
    <sheetView tabSelected="1" workbookViewId="0">
      <pane xSplit="3" ySplit="1" topLeftCell="D2" activePane="bottomRight" state="frozen"/>
      <selection pane="topRight"/>
      <selection pane="bottomLeft"/>
      <selection pane="bottomRight" activeCell="I2" sqref="I2"/>
    </sheetView>
  </sheetViews>
  <sheetFormatPr defaultRowHeight="14.4" x14ac:dyDescent="0.3"/>
  <cols>
    <col min="1" max="1" width="7" customWidth="1"/>
    <col min="2" max="2" width="26" style="23" customWidth="1"/>
    <col min="3" max="3" width="70" style="22" customWidth="1"/>
    <col min="4" max="4" width="9" customWidth="1"/>
    <col min="5" max="5" width="12" customWidth="1"/>
    <col min="6" max="6" width="16" style="23" customWidth="1"/>
    <col min="7" max="8" width="14" customWidth="1"/>
    <col min="9" max="9" width="30" customWidth="1"/>
  </cols>
  <sheetData>
    <row r="1" spans="1:9" ht="22.05" customHeight="1" x14ac:dyDescent="0.3">
      <c r="A1" s="4" t="s">
        <v>11</v>
      </c>
      <c r="B1" s="4" t="s">
        <v>12</v>
      </c>
      <c r="C1" s="4" t="s">
        <v>13</v>
      </c>
      <c r="D1" s="4" t="s">
        <v>14</v>
      </c>
      <c r="E1" s="4" t="s">
        <v>15</v>
      </c>
      <c r="F1" s="4" t="s">
        <v>16</v>
      </c>
      <c r="G1" s="4" t="s">
        <v>17</v>
      </c>
      <c r="H1" s="4" t="s">
        <v>18</v>
      </c>
      <c r="I1" s="4" t="s">
        <v>19</v>
      </c>
    </row>
    <row r="2" spans="1:9" ht="14.4" customHeight="1" x14ac:dyDescent="0.3">
      <c r="A2" s="5">
        <v>1</v>
      </c>
      <c r="B2" s="5" t="s">
        <v>20</v>
      </c>
      <c r="C2" s="21" t="s">
        <v>21</v>
      </c>
      <c r="D2" s="5">
        <v>2</v>
      </c>
      <c r="E2" s="5" t="s">
        <v>22</v>
      </c>
      <c r="F2" s="21"/>
      <c r="G2" s="7">
        <v>46334</v>
      </c>
      <c r="H2" s="5" t="s">
        <v>23</v>
      </c>
      <c r="I2" s="6"/>
    </row>
    <row r="3" spans="1:9" ht="14.4" customHeight="1" x14ac:dyDescent="0.3">
      <c r="A3" s="5">
        <v>2</v>
      </c>
      <c r="B3" s="5" t="s">
        <v>20</v>
      </c>
      <c r="C3" s="21" t="s">
        <v>24</v>
      </c>
      <c r="D3" s="5">
        <v>2</v>
      </c>
      <c r="E3" s="5" t="s">
        <v>25</v>
      </c>
      <c r="F3" s="21" t="s">
        <v>26</v>
      </c>
      <c r="G3" s="7">
        <v>46346</v>
      </c>
      <c r="H3" s="5" t="s">
        <v>23</v>
      </c>
      <c r="I3" s="6"/>
    </row>
    <row r="4" spans="1:9" x14ac:dyDescent="0.3">
      <c r="A4" s="5">
        <v>3</v>
      </c>
      <c r="B4" s="5" t="s">
        <v>20</v>
      </c>
      <c r="C4" s="21" t="s">
        <v>27</v>
      </c>
      <c r="D4" s="5">
        <v>1</v>
      </c>
      <c r="E4" s="5" t="s">
        <v>28</v>
      </c>
      <c r="F4" s="21" t="s">
        <v>26</v>
      </c>
      <c r="G4" s="7">
        <v>46346</v>
      </c>
      <c r="H4" s="5" t="s">
        <v>23</v>
      </c>
      <c r="I4" s="6"/>
    </row>
    <row r="5" spans="1:9" x14ac:dyDescent="0.3">
      <c r="A5" s="5">
        <v>4</v>
      </c>
      <c r="B5" s="5" t="s">
        <v>20</v>
      </c>
      <c r="C5" s="21" t="s">
        <v>29</v>
      </c>
      <c r="D5" s="5">
        <v>1</v>
      </c>
      <c r="E5" s="5" t="s">
        <v>22</v>
      </c>
      <c r="F5" s="21"/>
      <c r="G5" s="7">
        <v>46352</v>
      </c>
      <c r="H5" s="5" t="s">
        <v>23</v>
      </c>
      <c r="I5" s="6"/>
    </row>
    <row r="6" spans="1:9" x14ac:dyDescent="0.3">
      <c r="A6" s="5">
        <v>5</v>
      </c>
      <c r="B6" s="5" t="s">
        <v>20</v>
      </c>
      <c r="C6" s="21" t="s">
        <v>30</v>
      </c>
      <c r="D6" s="5">
        <v>1</v>
      </c>
      <c r="E6" s="5" t="s">
        <v>22</v>
      </c>
      <c r="F6" s="21" t="s">
        <v>31</v>
      </c>
      <c r="G6" s="7">
        <v>46354</v>
      </c>
      <c r="H6" s="5" t="s">
        <v>23</v>
      </c>
      <c r="I6" s="6"/>
    </row>
    <row r="7" spans="1:9" x14ac:dyDescent="0.3">
      <c r="A7" s="5">
        <v>6</v>
      </c>
      <c r="B7" s="5" t="s">
        <v>32</v>
      </c>
      <c r="C7" s="21" t="s">
        <v>33</v>
      </c>
      <c r="D7" s="5">
        <v>2</v>
      </c>
      <c r="E7" s="5" t="s">
        <v>22</v>
      </c>
      <c r="F7" s="21"/>
      <c r="G7" s="7">
        <v>46329</v>
      </c>
      <c r="H7" s="5" t="s">
        <v>23</v>
      </c>
      <c r="I7" s="6"/>
    </row>
    <row r="8" spans="1:9" x14ac:dyDescent="0.3">
      <c r="A8" s="5">
        <v>7</v>
      </c>
      <c r="B8" s="5" t="s">
        <v>32</v>
      </c>
      <c r="C8" s="21" t="s">
        <v>34</v>
      </c>
      <c r="D8" s="5">
        <v>2</v>
      </c>
      <c r="E8" s="5" t="s">
        <v>22</v>
      </c>
      <c r="F8" s="21" t="s">
        <v>35</v>
      </c>
      <c r="G8" s="7">
        <v>46329</v>
      </c>
      <c r="H8" s="5" t="s">
        <v>23</v>
      </c>
      <c r="I8" s="6"/>
    </row>
    <row r="9" spans="1:9" x14ac:dyDescent="0.3">
      <c r="A9" s="5">
        <v>8</v>
      </c>
      <c r="B9" s="5" t="s">
        <v>32</v>
      </c>
      <c r="C9" s="21" t="s">
        <v>36</v>
      </c>
      <c r="D9" s="5">
        <v>1</v>
      </c>
      <c r="E9" s="5" t="s">
        <v>22</v>
      </c>
      <c r="F9" s="21"/>
      <c r="G9" s="7">
        <v>46329</v>
      </c>
      <c r="H9" s="5" t="s">
        <v>23</v>
      </c>
      <c r="I9" s="6"/>
    </row>
    <row r="10" spans="1:9" x14ac:dyDescent="0.3">
      <c r="A10" s="5">
        <v>9</v>
      </c>
      <c r="B10" s="5" t="s">
        <v>32</v>
      </c>
      <c r="C10" s="21" t="s">
        <v>37</v>
      </c>
      <c r="D10" s="5">
        <v>1</v>
      </c>
      <c r="E10" s="5" t="s">
        <v>38</v>
      </c>
      <c r="F10" s="21"/>
      <c r="G10" s="7">
        <v>46329</v>
      </c>
      <c r="H10" s="5" t="s">
        <v>23</v>
      </c>
      <c r="I10" s="6"/>
    </row>
    <row r="11" spans="1:9" x14ac:dyDescent="0.3">
      <c r="A11" s="5">
        <v>10</v>
      </c>
      <c r="B11" s="5" t="s">
        <v>32</v>
      </c>
      <c r="C11" s="21" t="s">
        <v>39</v>
      </c>
      <c r="D11" s="5">
        <v>1</v>
      </c>
      <c r="E11" s="5" t="s">
        <v>38</v>
      </c>
      <c r="F11" s="21"/>
      <c r="G11" s="7">
        <v>46329</v>
      </c>
      <c r="H11" s="5" t="s">
        <v>23</v>
      </c>
      <c r="I11" s="6"/>
    </row>
    <row r="12" spans="1:9" x14ac:dyDescent="0.3">
      <c r="A12" s="5">
        <v>11</v>
      </c>
      <c r="B12" s="5" t="s">
        <v>32</v>
      </c>
      <c r="C12" s="21" t="s">
        <v>40</v>
      </c>
      <c r="D12" s="5">
        <v>1</v>
      </c>
      <c r="E12" s="5" t="s">
        <v>22</v>
      </c>
      <c r="F12" s="21"/>
      <c r="G12" s="7">
        <v>46329</v>
      </c>
      <c r="H12" s="5" t="s">
        <v>23</v>
      </c>
      <c r="I12" s="6"/>
    </row>
    <row r="13" spans="1:9" x14ac:dyDescent="0.3">
      <c r="A13" s="5">
        <v>12</v>
      </c>
      <c r="B13" s="5" t="s">
        <v>32</v>
      </c>
      <c r="C13" s="21" t="s">
        <v>41</v>
      </c>
      <c r="D13" s="5">
        <v>1</v>
      </c>
      <c r="E13" s="5" t="s">
        <v>22</v>
      </c>
      <c r="F13" s="21"/>
      <c r="G13" s="7">
        <v>46329</v>
      </c>
      <c r="H13" s="5" t="s">
        <v>23</v>
      </c>
      <c r="I13" s="6"/>
    </row>
    <row r="14" spans="1:9" x14ac:dyDescent="0.3">
      <c r="A14" s="5">
        <v>13</v>
      </c>
      <c r="B14" s="5" t="s">
        <v>32</v>
      </c>
      <c r="C14" s="21" t="s">
        <v>42</v>
      </c>
      <c r="D14" s="5">
        <v>1</v>
      </c>
      <c r="E14" s="5" t="s">
        <v>22</v>
      </c>
      <c r="F14" s="21"/>
      <c r="G14" s="7">
        <v>46329</v>
      </c>
      <c r="H14" s="5" t="s">
        <v>23</v>
      </c>
      <c r="I14" s="6"/>
    </row>
    <row r="15" spans="1:9" x14ac:dyDescent="0.3">
      <c r="A15" s="5">
        <v>14</v>
      </c>
      <c r="B15" s="5" t="s">
        <v>43</v>
      </c>
      <c r="C15" s="21" t="s">
        <v>44</v>
      </c>
      <c r="D15" s="5">
        <v>2</v>
      </c>
      <c r="E15" s="5" t="s">
        <v>22</v>
      </c>
      <c r="F15" s="21" t="s">
        <v>35</v>
      </c>
      <c r="G15" s="7">
        <v>46336</v>
      </c>
      <c r="H15" s="5" t="s">
        <v>23</v>
      </c>
      <c r="I15" s="6"/>
    </row>
    <row r="16" spans="1:9" x14ac:dyDescent="0.3">
      <c r="A16" s="5">
        <v>15</v>
      </c>
      <c r="B16" s="5" t="s">
        <v>43</v>
      </c>
      <c r="C16" s="21" t="s">
        <v>45</v>
      </c>
      <c r="D16" s="5">
        <v>3</v>
      </c>
      <c r="E16" s="5" t="s">
        <v>22</v>
      </c>
      <c r="F16" s="21" t="s">
        <v>46</v>
      </c>
      <c r="G16" s="7">
        <v>46336</v>
      </c>
      <c r="H16" s="5" t="s">
        <v>23</v>
      </c>
      <c r="I16" s="6"/>
    </row>
    <row r="17" spans="1:9" x14ac:dyDescent="0.3">
      <c r="A17" s="5">
        <v>16</v>
      </c>
      <c r="B17" s="5" t="s">
        <v>43</v>
      </c>
      <c r="C17" s="21" t="s">
        <v>47</v>
      </c>
      <c r="D17" s="5">
        <v>3</v>
      </c>
      <c r="E17" s="5" t="s">
        <v>22</v>
      </c>
      <c r="F17" s="21" t="s">
        <v>48</v>
      </c>
      <c r="G17" s="7">
        <v>46336</v>
      </c>
      <c r="H17" s="5" t="s">
        <v>23</v>
      </c>
      <c r="I17" s="6"/>
    </row>
    <row r="18" spans="1:9" x14ac:dyDescent="0.3">
      <c r="A18" s="5">
        <v>17</v>
      </c>
      <c r="B18" s="5" t="s">
        <v>43</v>
      </c>
      <c r="C18" s="21" t="s">
        <v>49</v>
      </c>
      <c r="D18" s="5">
        <v>2</v>
      </c>
      <c r="E18" s="5" t="s">
        <v>22</v>
      </c>
      <c r="F18" s="21" t="s">
        <v>48</v>
      </c>
      <c r="G18" s="7">
        <v>46336</v>
      </c>
      <c r="H18" s="5" t="s">
        <v>23</v>
      </c>
      <c r="I18" s="6"/>
    </row>
    <row r="19" spans="1:9" x14ac:dyDescent="0.3">
      <c r="A19" s="5">
        <v>18</v>
      </c>
      <c r="B19" s="5" t="s">
        <v>43</v>
      </c>
      <c r="C19" s="21" t="s">
        <v>50</v>
      </c>
      <c r="D19" s="5">
        <v>3</v>
      </c>
      <c r="E19" s="5" t="s">
        <v>22</v>
      </c>
      <c r="F19" s="21" t="s">
        <v>46</v>
      </c>
      <c r="G19" s="7">
        <v>46336</v>
      </c>
      <c r="H19" s="5" t="s">
        <v>23</v>
      </c>
      <c r="I19" s="6"/>
    </row>
    <row r="20" spans="1:9" x14ac:dyDescent="0.3">
      <c r="A20" s="5">
        <v>19</v>
      </c>
      <c r="B20" s="5" t="s">
        <v>43</v>
      </c>
      <c r="C20" s="21" t="s">
        <v>51</v>
      </c>
      <c r="D20" s="5">
        <v>2</v>
      </c>
      <c r="E20" s="5" t="s">
        <v>22</v>
      </c>
      <c r="F20" s="21" t="s">
        <v>52</v>
      </c>
      <c r="G20" s="7">
        <v>46336</v>
      </c>
      <c r="H20" s="5" t="s">
        <v>23</v>
      </c>
      <c r="I20" s="6"/>
    </row>
    <row r="21" spans="1:9" x14ac:dyDescent="0.3">
      <c r="A21" s="5">
        <v>20</v>
      </c>
      <c r="B21" s="5" t="s">
        <v>53</v>
      </c>
      <c r="C21" s="21" t="s">
        <v>54</v>
      </c>
      <c r="D21" s="5">
        <v>3</v>
      </c>
      <c r="E21" s="5" t="s">
        <v>25</v>
      </c>
      <c r="F21" s="21" t="s">
        <v>55</v>
      </c>
      <c r="G21" s="7">
        <v>46340</v>
      </c>
      <c r="H21" s="5" t="s">
        <v>23</v>
      </c>
      <c r="I21" s="6"/>
    </row>
    <row r="22" spans="1:9" x14ac:dyDescent="0.3">
      <c r="A22" s="5">
        <v>21</v>
      </c>
      <c r="B22" s="5" t="s">
        <v>53</v>
      </c>
      <c r="C22" s="21" t="s">
        <v>56</v>
      </c>
      <c r="D22" s="5">
        <v>3</v>
      </c>
      <c r="E22" s="5" t="s">
        <v>25</v>
      </c>
      <c r="F22" s="21" t="s">
        <v>57</v>
      </c>
      <c r="G22" s="7">
        <v>46340</v>
      </c>
      <c r="H22" s="5" t="s">
        <v>23</v>
      </c>
      <c r="I22" s="6"/>
    </row>
    <row r="23" spans="1:9" x14ac:dyDescent="0.3">
      <c r="A23" s="5">
        <v>22</v>
      </c>
      <c r="B23" s="5" t="s">
        <v>53</v>
      </c>
      <c r="C23" s="21" t="s">
        <v>58</v>
      </c>
      <c r="D23" s="5">
        <v>2</v>
      </c>
      <c r="E23" s="5" t="s">
        <v>25</v>
      </c>
      <c r="F23" s="21"/>
      <c r="G23" s="7">
        <v>46340</v>
      </c>
      <c r="H23" s="5" t="s">
        <v>23</v>
      </c>
      <c r="I23" s="6"/>
    </row>
    <row r="24" spans="1:9" x14ac:dyDescent="0.3">
      <c r="A24" s="5">
        <v>23</v>
      </c>
      <c r="B24" s="5" t="s">
        <v>53</v>
      </c>
      <c r="C24" s="21" t="s">
        <v>59</v>
      </c>
      <c r="D24" s="5">
        <v>4</v>
      </c>
      <c r="E24" s="5" t="s">
        <v>25</v>
      </c>
      <c r="F24" s="21"/>
      <c r="G24" s="7">
        <v>46340</v>
      </c>
      <c r="H24" s="5" t="s">
        <v>23</v>
      </c>
      <c r="I24" s="6"/>
    </row>
    <row r="25" spans="1:9" x14ac:dyDescent="0.3">
      <c r="A25" s="5">
        <v>24</v>
      </c>
      <c r="B25" s="5" t="s">
        <v>53</v>
      </c>
      <c r="C25" s="21" t="s">
        <v>60</v>
      </c>
      <c r="D25" s="5">
        <v>3</v>
      </c>
      <c r="E25" s="5" t="s">
        <v>25</v>
      </c>
      <c r="F25" s="21" t="s">
        <v>61</v>
      </c>
      <c r="G25" s="7">
        <v>46340</v>
      </c>
      <c r="H25" s="5" t="s">
        <v>23</v>
      </c>
      <c r="I25" s="6"/>
    </row>
    <row r="26" spans="1:9" x14ac:dyDescent="0.3">
      <c r="A26" s="5">
        <v>25</v>
      </c>
      <c r="B26" s="5" t="s">
        <v>53</v>
      </c>
      <c r="C26" s="21" t="s">
        <v>62</v>
      </c>
      <c r="D26" s="5">
        <v>2</v>
      </c>
      <c r="E26" s="5" t="s">
        <v>25</v>
      </c>
      <c r="F26" s="21" t="s">
        <v>63</v>
      </c>
      <c r="G26" s="7">
        <v>46340</v>
      </c>
      <c r="H26" s="5" t="s">
        <v>23</v>
      </c>
      <c r="I26" s="6"/>
    </row>
    <row r="27" spans="1:9" x14ac:dyDescent="0.3">
      <c r="A27" s="5">
        <v>26</v>
      </c>
      <c r="B27" s="5" t="s">
        <v>53</v>
      </c>
      <c r="C27" s="21" t="s">
        <v>64</v>
      </c>
      <c r="D27" s="5">
        <v>3</v>
      </c>
      <c r="E27" s="5" t="s">
        <v>25</v>
      </c>
      <c r="F27" s="21" t="s">
        <v>65</v>
      </c>
      <c r="G27" s="7">
        <v>46340</v>
      </c>
      <c r="H27" s="5" t="s">
        <v>23</v>
      </c>
      <c r="I27" s="6"/>
    </row>
    <row r="28" spans="1:9" x14ac:dyDescent="0.3">
      <c r="A28" s="5">
        <v>27</v>
      </c>
      <c r="B28" s="5" t="s">
        <v>53</v>
      </c>
      <c r="C28" s="21" t="s">
        <v>66</v>
      </c>
      <c r="D28" s="5">
        <v>3</v>
      </c>
      <c r="E28" s="5" t="s">
        <v>25</v>
      </c>
      <c r="F28" s="21"/>
      <c r="G28" s="7">
        <v>46340</v>
      </c>
      <c r="H28" s="5" t="s">
        <v>23</v>
      </c>
      <c r="I28" s="6"/>
    </row>
    <row r="29" spans="1:9" x14ac:dyDescent="0.3">
      <c r="A29" s="5">
        <v>28</v>
      </c>
      <c r="B29" s="5" t="s">
        <v>53</v>
      </c>
      <c r="C29" s="21" t="s">
        <v>67</v>
      </c>
      <c r="D29" s="5">
        <v>2</v>
      </c>
      <c r="E29" s="5" t="s">
        <v>25</v>
      </c>
      <c r="F29" s="21" t="s">
        <v>68</v>
      </c>
      <c r="G29" s="7">
        <v>46343</v>
      </c>
      <c r="H29" s="5" t="s">
        <v>23</v>
      </c>
      <c r="I29" s="6"/>
    </row>
    <row r="30" spans="1:9" x14ac:dyDescent="0.3">
      <c r="A30" s="5">
        <v>29</v>
      </c>
      <c r="B30" s="5" t="s">
        <v>69</v>
      </c>
      <c r="C30" s="21" t="s">
        <v>70</v>
      </c>
      <c r="D30" s="5">
        <v>3</v>
      </c>
      <c r="E30" s="5" t="s">
        <v>28</v>
      </c>
      <c r="F30" s="21"/>
      <c r="G30" s="7">
        <v>46340</v>
      </c>
      <c r="H30" s="5" t="s">
        <v>23</v>
      </c>
      <c r="I30" s="6"/>
    </row>
    <row r="31" spans="1:9" x14ac:dyDescent="0.3">
      <c r="A31" s="5">
        <v>30</v>
      </c>
      <c r="B31" s="5" t="s">
        <v>69</v>
      </c>
      <c r="C31" s="21" t="s">
        <v>71</v>
      </c>
      <c r="D31" s="5">
        <v>3</v>
      </c>
      <c r="E31" s="5" t="s">
        <v>28</v>
      </c>
      <c r="F31" s="21" t="s">
        <v>72</v>
      </c>
      <c r="G31" s="7">
        <v>46340</v>
      </c>
      <c r="H31" s="5" t="s">
        <v>23</v>
      </c>
      <c r="I31" s="6"/>
    </row>
    <row r="32" spans="1:9" x14ac:dyDescent="0.3">
      <c r="A32" s="5">
        <v>31</v>
      </c>
      <c r="B32" s="5" t="s">
        <v>69</v>
      </c>
      <c r="C32" s="21" t="s">
        <v>73</v>
      </c>
      <c r="D32" s="5">
        <v>3</v>
      </c>
      <c r="E32" s="5" t="s">
        <v>28</v>
      </c>
      <c r="F32" s="21" t="s">
        <v>72</v>
      </c>
      <c r="G32" s="7">
        <v>46340</v>
      </c>
      <c r="H32" s="5" t="s">
        <v>23</v>
      </c>
      <c r="I32" s="6"/>
    </row>
    <row r="33" spans="1:9" x14ac:dyDescent="0.3">
      <c r="A33" s="5">
        <v>32</v>
      </c>
      <c r="B33" s="5" t="s">
        <v>69</v>
      </c>
      <c r="C33" s="21" t="s">
        <v>74</v>
      </c>
      <c r="D33" s="5">
        <v>2</v>
      </c>
      <c r="E33" s="5" t="s">
        <v>28</v>
      </c>
      <c r="F33" s="21" t="s">
        <v>75</v>
      </c>
      <c r="G33" s="7">
        <v>46340</v>
      </c>
      <c r="H33" s="5" t="s">
        <v>23</v>
      </c>
      <c r="I33" s="6"/>
    </row>
    <row r="34" spans="1:9" x14ac:dyDescent="0.3">
      <c r="A34" s="5">
        <v>33</v>
      </c>
      <c r="B34" s="5" t="s">
        <v>69</v>
      </c>
      <c r="C34" s="21" t="s">
        <v>76</v>
      </c>
      <c r="D34" s="5">
        <v>2</v>
      </c>
      <c r="E34" s="5" t="s">
        <v>28</v>
      </c>
      <c r="F34" s="21" t="s">
        <v>77</v>
      </c>
      <c r="G34" s="7">
        <v>46340</v>
      </c>
      <c r="H34" s="5" t="s">
        <v>23</v>
      </c>
      <c r="I34" s="6"/>
    </row>
    <row r="35" spans="1:9" x14ac:dyDescent="0.3">
      <c r="A35" s="5">
        <v>34</v>
      </c>
      <c r="B35" s="5" t="s">
        <v>69</v>
      </c>
      <c r="C35" s="21" t="s">
        <v>78</v>
      </c>
      <c r="D35" s="5">
        <v>3</v>
      </c>
      <c r="E35" s="5" t="s">
        <v>28</v>
      </c>
      <c r="F35" s="21" t="s">
        <v>79</v>
      </c>
      <c r="G35" s="7">
        <v>46340</v>
      </c>
      <c r="H35" s="5" t="s">
        <v>23</v>
      </c>
      <c r="I35" s="6"/>
    </row>
    <row r="36" spans="1:9" x14ac:dyDescent="0.3">
      <c r="A36" s="5">
        <v>35</v>
      </c>
      <c r="B36" s="5" t="s">
        <v>69</v>
      </c>
      <c r="C36" s="21" t="s">
        <v>80</v>
      </c>
      <c r="D36" s="5">
        <v>3</v>
      </c>
      <c r="E36" s="5" t="s">
        <v>28</v>
      </c>
      <c r="F36" s="21" t="s">
        <v>81</v>
      </c>
      <c r="G36" s="7">
        <v>46343</v>
      </c>
      <c r="H36" s="5" t="s">
        <v>23</v>
      </c>
      <c r="I36" s="6"/>
    </row>
    <row r="37" spans="1:9" x14ac:dyDescent="0.3">
      <c r="A37" s="5">
        <v>36</v>
      </c>
      <c r="B37" s="5" t="s">
        <v>82</v>
      </c>
      <c r="C37" s="21" t="s">
        <v>83</v>
      </c>
      <c r="D37" s="5">
        <v>3</v>
      </c>
      <c r="E37" s="5" t="s">
        <v>38</v>
      </c>
      <c r="F37" s="21" t="s">
        <v>84</v>
      </c>
      <c r="G37" s="7">
        <v>46340</v>
      </c>
      <c r="H37" s="5" t="s">
        <v>23</v>
      </c>
      <c r="I37" s="6"/>
    </row>
    <row r="38" spans="1:9" x14ac:dyDescent="0.3">
      <c r="A38" s="5">
        <v>37</v>
      </c>
      <c r="B38" s="5" t="s">
        <v>82</v>
      </c>
      <c r="C38" s="21" t="s">
        <v>85</v>
      </c>
      <c r="D38" s="5">
        <v>3</v>
      </c>
      <c r="E38" s="5" t="s">
        <v>38</v>
      </c>
      <c r="F38" s="21" t="s">
        <v>46</v>
      </c>
      <c r="G38" s="7">
        <v>46340</v>
      </c>
      <c r="H38" s="5" t="s">
        <v>23</v>
      </c>
      <c r="I38" s="6"/>
    </row>
    <row r="39" spans="1:9" x14ac:dyDescent="0.3">
      <c r="A39" s="5">
        <v>38</v>
      </c>
      <c r="B39" s="5" t="s">
        <v>82</v>
      </c>
      <c r="C39" s="21" t="s">
        <v>86</v>
      </c>
      <c r="D39" s="5">
        <v>3</v>
      </c>
      <c r="E39" s="5" t="s">
        <v>38</v>
      </c>
      <c r="F39" s="21" t="s">
        <v>87</v>
      </c>
      <c r="G39" s="7">
        <v>46340</v>
      </c>
      <c r="H39" s="5" t="s">
        <v>23</v>
      </c>
      <c r="I39" s="6"/>
    </row>
    <row r="40" spans="1:9" x14ac:dyDescent="0.3">
      <c r="A40" s="5">
        <v>39</v>
      </c>
      <c r="B40" s="5" t="s">
        <v>82</v>
      </c>
      <c r="C40" s="21" t="s">
        <v>88</v>
      </c>
      <c r="D40" s="5">
        <v>4</v>
      </c>
      <c r="E40" s="5" t="s">
        <v>38</v>
      </c>
      <c r="F40" s="21" t="s">
        <v>87</v>
      </c>
      <c r="G40" s="7">
        <v>46340</v>
      </c>
      <c r="H40" s="5" t="s">
        <v>23</v>
      </c>
      <c r="I40" s="6"/>
    </row>
    <row r="41" spans="1:9" x14ac:dyDescent="0.3">
      <c r="A41" s="5">
        <v>40</v>
      </c>
      <c r="B41" s="5" t="s">
        <v>82</v>
      </c>
      <c r="C41" s="21" t="s">
        <v>89</v>
      </c>
      <c r="D41" s="5">
        <v>2</v>
      </c>
      <c r="E41" s="5" t="s">
        <v>38</v>
      </c>
      <c r="F41" s="21" t="s">
        <v>46</v>
      </c>
      <c r="G41" s="7">
        <v>46343</v>
      </c>
      <c r="H41" s="5" t="s">
        <v>23</v>
      </c>
      <c r="I41" s="6"/>
    </row>
    <row r="42" spans="1:9" x14ac:dyDescent="0.3">
      <c r="A42" s="5">
        <v>41</v>
      </c>
      <c r="B42" s="5" t="s">
        <v>90</v>
      </c>
      <c r="C42" s="21" t="s">
        <v>91</v>
      </c>
      <c r="D42" s="5">
        <v>3</v>
      </c>
      <c r="E42" s="5" t="s">
        <v>28</v>
      </c>
      <c r="F42" s="21" t="s">
        <v>92</v>
      </c>
      <c r="G42" s="7">
        <v>46346</v>
      </c>
      <c r="H42" s="5" t="s">
        <v>23</v>
      </c>
      <c r="I42" s="6"/>
    </row>
    <row r="43" spans="1:9" x14ac:dyDescent="0.3">
      <c r="A43" s="5">
        <v>42</v>
      </c>
      <c r="B43" s="5" t="s">
        <v>90</v>
      </c>
      <c r="C43" s="21" t="s">
        <v>93</v>
      </c>
      <c r="D43" s="5">
        <v>1</v>
      </c>
      <c r="E43" s="5" t="s">
        <v>28</v>
      </c>
      <c r="F43" s="21" t="s">
        <v>94</v>
      </c>
      <c r="G43" s="7">
        <v>46346</v>
      </c>
      <c r="H43" s="5" t="s">
        <v>23</v>
      </c>
      <c r="I43" s="6"/>
    </row>
    <row r="44" spans="1:9" x14ac:dyDescent="0.3">
      <c r="A44" s="5">
        <v>43</v>
      </c>
      <c r="B44" s="5" t="s">
        <v>90</v>
      </c>
      <c r="C44" s="21" t="s">
        <v>95</v>
      </c>
      <c r="D44" s="5">
        <v>2</v>
      </c>
      <c r="E44" s="5" t="s">
        <v>28</v>
      </c>
      <c r="F44" s="21" t="s">
        <v>96</v>
      </c>
      <c r="G44" s="7">
        <v>46346</v>
      </c>
      <c r="H44" s="5" t="s">
        <v>23</v>
      </c>
      <c r="I44" s="6"/>
    </row>
    <row r="45" spans="1:9" x14ac:dyDescent="0.3">
      <c r="A45" s="5">
        <v>44</v>
      </c>
      <c r="B45" s="5" t="s">
        <v>90</v>
      </c>
      <c r="C45" s="21" t="s">
        <v>97</v>
      </c>
      <c r="D45" s="5">
        <v>1</v>
      </c>
      <c r="E45" s="5" t="s">
        <v>28</v>
      </c>
      <c r="F45" s="21" t="s">
        <v>98</v>
      </c>
      <c r="G45" s="7">
        <v>46346</v>
      </c>
      <c r="H45" s="5" t="s">
        <v>23</v>
      </c>
      <c r="I45" s="6"/>
    </row>
    <row r="46" spans="1:9" x14ac:dyDescent="0.3">
      <c r="A46" s="5">
        <v>45</v>
      </c>
      <c r="B46" s="5" t="s">
        <v>90</v>
      </c>
      <c r="C46" s="21" t="s">
        <v>99</v>
      </c>
      <c r="D46" s="5">
        <v>4</v>
      </c>
      <c r="E46" s="5" t="s">
        <v>28</v>
      </c>
      <c r="F46" s="21" t="s">
        <v>100</v>
      </c>
      <c r="G46" s="7">
        <v>46346</v>
      </c>
      <c r="H46" s="5" t="s">
        <v>23</v>
      </c>
      <c r="I46" s="6"/>
    </row>
    <row r="47" spans="1:9" x14ac:dyDescent="0.3">
      <c r="A47" s="5">
        <v>46</v>
      </c>
      <c r="B47" s="5" t="s">
        <v>90</v>
      </c>
      <c r="C47" s="21" t="s">
        <v>101</v>
      </c>
      <c r="D47" s="5">
        <v>3</v>
      </c>
      <c r="E47" s="5" t="s">
        <v>28</v>
      </c>
      <c r="F47" s="21" t="s">
        <v>94</v>
      </c>
      <c r="G47" s="7">
        <v>46346</v>
      </c>
      <c r="H47" s="5" t="s">
        <v>23</v>
      </c>
      <c r="I47" s="6"/>
    </row>
    <row r="48" spans="1:9" x14ac:dyDescent="0.3">
      <c r="A48" s="5">
        <v>47</v>
      </c>
      <c r="B48" s="5" t="s">
        <v>90</v>
      </c>
      <c r="C48" s="21" t="s">
        <v>102</v>
      </c>
      <c r="D48" s="5">
        <v>2</v>
      </c>
      <c r="E48" s="5" t="s">
        <v>28</v>
      </c>
      <c r="F48" s="21" t="s">
        <v>94</v>
      </c>
      <c r="G48" s="7">
        <v>46346</v>
      </c>
      <c r="H48" s="5" t="s">
        <v>23</v>
      </c>
      <c r="I48" s="6"/>
    </row>
    <row r="49" spans="1:9" x14ac:dyDescent="0.3">
      <c r="A49" s="5">
        <v>48</v>
      </c>
      <c r="B49" s="5" t="s">
        <v>90</v>
      </c>
      <c r="C49" s="21" t="s">
        <v>103</v>
      </c>
      <c r="D49" s="5">
        <v>2</v>
      </c>
      <c r="E49" s="5" t="s">
        <v>28</v>
      </c>
      <c r="F49" s="21" t="s">
        <v>94</v>
      </c>
      <c r="G49" s="7">
        <v>46346</v>
      </c>
      <c r="H49" s="5" t="s">
        <v>23</v>
      </c>
      <c r="I49" s="6"/>
    </row>
    <row r="50" spans="1:9" x14ac:dyDescent="0.3">
      <c r="A50" s="5">
        <v>49</v>
      </c>
      <c r="B50" s="5" t="s">
        <v>104</v>
      </c>
      <c r="C50" s="21" t="s">
        <v>105</v>
      </c>
      <c r="D50" s="5">
        <v>3</v>
      </c>
      <c r="E50" s="5" t="s">
        <v>25</v>
      </c>
      <c r="F50" s="21" t="s">
        <v>106</v>
      </c>
      <c r="G50" s="7">
        <v>46346</v>
      </c>
      <c r="H50" s="5" t="s">
        <v>23</v>
      </c>
      <c r="I50" s="6"/>
    </row>
    <row r="51" spans="1:9" x14ac:dyDescent="0.3">
      <c r="A51" s="5">
        <v>50</v>
      </c>
      <c r="B51" s="5" t="s">
        <v>104</v>
      </c>
      <c r="C51" s="21" t="s">
        <v>107</v>
      </c>
      <c r="D51" s="5">
        <v>3</v>
      </c>
      <c r="E51" s="5" t="s">
        <v>25</v>
      </c>
      <c r="F51" s="21" t="s">
        <v>108</v>
      </c>
      <c r="G51" s="7">
        <v>46346</v>
      </c>
      <c r="H51" s="5" t="s">
        <v>23</v>
      </c>
      <c r="I51" s="6"/>
    </row>
    <row r="52" spans="1:9" x14ac:dyDescent="0.3">
      <c r="A52" s="5">
        <v>51</v>
      </c>
      <c r="B52" s="5" t="s">
        <v>104</v>
      </c>
      <c r="C52" s="21" t="s">
        <v>109</v>
      </c>
      <c r="D52" s="5">
        <v>3</v>
      </c>
      <c r="E52" s="5" t="s">
        <v>25</v>
      </c>
      <c r="F52" s="21" t="s">
        <v>110</v>
      </c>
      <c r="G52" s="7">
        <v>46346</v>
      </c>
      <c r="H52" s="5" t="s">
        <v>23</v>
      </c>
      <c r="I52" s="6"/>
    </row>
    <row r="53" spans="1:9" x14ac:dyDescent="0.3">
      <c r="A53" s="5">
        <v>52</v>
      </c>
      <c r="B53" s="5" t="s">
        <v>104</v>
      </c>
      <c r="C53" s="21" t="s">
        <v>111</v>
      </c>
      <c r="D53" s="5">
        <v>2</v>
      </c>
      <c r="E53" s="5" t="s">
        <v>25</v>
      </c>
      <c r="F53" s="21" t="s">
        <v>72</v>
      </c>
      <c r="G53" s="7">
        <v>46346</v>
      </c>
      <c r="H53" s="5" t="s">
        <v>23</v>
      </c>
      <c r="I53" s="6"/>
    </row>
    <row r="54" spans="1:9" x14ac:dyDescent="0.3">
      <c r="A54" s="5">
        <v>53</v>
      </c>
      <c r="B54" s="5" t="s">
        <v>112</v>
      </c>
      <c r="C54" s="21" t="s">
        <v>113</v>
      </c>
      <c r="D54" s="5">
        <v>4</v>
      </c>
      <c r="E54" s="5" t="s">
        <v>38</v>
      </c>
      <c r="F54" s="21"/>
      <c r="G54" s="7">
        <v>46350</v>
      </c>
      <c r="H54" s="5" t="s">
        <v>23</v>
      </c>
      <c r="I54" s="6"/>
    </row>
    <row r="55" spans="1:9" x14ac:dyDescent="0.3">
      <c r="A55" s="5">
        <v>54</v>
      </c>
      <c r="B55" s="5" t="s">
        <v>112</v>
      </c>
      <c r="C55" s="21" t="s">
        <v>114</v>
      </c>
      <c r="D55" s="5">
        <v>2</v>
      </c>
      <c r="E55" s="5" t="s">
        <v>38</v>
      </c>
      <c r="F55" s="21" t="s">
        <v>115</v>
      </c>
      <c r="G55" s="7">
        <v>46350</v>
      </c>
      <c r="H55" s="5" t="s">
        <v>23</v>
      </c>
      <c r="I55" s="6"/>
    </row>
    <row r="56" spans="1:9" x14ac:dyDescent="0.3">
      <c r="A56" s="5">
        <v>55</v>
      </c>
      <c r="B56" s="5" t="s">
        <v>112</v>
      </c>
      <c r="C56" s="21" t="s">
        <v>116</v>
      </c>
      <c r="D56" s="5">
        <v>2</v>
      </c>
      <c r="E56" s="5" t="s">
        <v>38</v>
      </c>
      <c r="F56" s="21"/>
      <c r="G56" s="7">
        <v>46350</v>
      </c>
      <c r="H56" s="5" t="s">
        <v>23</v>
      </c>
      <c r="I56" s="6"/>
    </row>
    <row r="57" spans="1:9" x14ac:dyDescent="0.3">
      <c r="A57" s="5">
        <v>56</v>
      </c>
      <c r="B57" s="5" t="s">
        <v>112</v>
      </c>
      <c r="C57" s="21" t="s">
        <v>117</v>
      </c>
      <c r="D57" s="5">
        <v>3</v>
      </c>
      <c r="E57" s="5" t="s">
        <v>38</v>
      </c>
      <c r="F57" s="21" t="s">
        <v>118</v>
      </c>
      <c r="G57" s="7">
        <v>46350</v>
      </c>
      <c r="H57" s="5" t="s">
        <v>23</v>
      </c>
      <c r="I57" s="6"/>
    </row>
    <row r="58" spans="1:9" x14ac:dyDescent="0.3">
      <c r="A58" s="5">
        <v>57</v>
      </c>
      <c r="B58" s="5" t="s">
        <v>112</v>
      </c>
      <c r="C58" s="21" t="s">
        <v>119</v>
      </c>
      <c r="D58" s="5">
        <v>3</v>
      </c>
      <c r="E58" s="5" t="s">
        <v>38</v>
      </c>
      <c r="F58" s="21" t="s">
        <v>120</v>
      </c>
      <c r="G58" s="7">
        <v>46350</v>
      </c>
      <c r="H58" s="5" t="s">
        <v>23</v>
      </c>
      <c r="I58" s="6"/>
    </row>
    <row r="59" spans="1:9" x14ac:dyDescent="0.3">
      <c r="A59" s="5">
        <v>58</v>
      </c>
      <c r="B59" s="5" t="s">
        <v>112</v>
      </c>
      <c r="C59" s="21" t="s">
        <v>121</v>
      </c>
      <c r="D59" s="5">
        <v>2</v>
      </c>
      <c r="E59" s="5" t="s">
        <v>38</v>
      </c>
      <c r="F59" s="21" t="s">
        <v>122</v>
      </c>
      <c r="G59" s="7">
        <v>46350</v>
      </c>
      <c r="H59" s="5" t="s">
        <v>23</v>
      </c>
      <c r="I59" s="6"/>
    </row>
    <row r="60" spans="1:9" x14ac:dyDescent="0.3">
      <c r="A60" s="5">
        <v>59</v>
      </c>
      <c r="B60" s="5" t="s">
        <v>123</v>
      </c>
      <c r="C60" s="21" t="s">
        <v>124</v>
      </c>
      <c r="D60" s="5">
        <v>3</v>
      </c>
      <c r="E60" s="5" t="s">
        <v>38</v>
      </c>
      <c r="F60" s="21" t="s">
        <v>125</v>
      </c>
      <c r="G60" s="7">
        <v>46346</v>
      </c>
      <c r="H60" s="5" t="s">
        <v>23</v>
      </c>
      <c r="I60" s="6"/>
    </row>
    <row r="61" spans="1:9" x14ac:dyDescent="0.3">
      <c r="A61" s="5">
        <v>60</v>
      </c>
      <c r="B61" s="5" t="s">
        <v>123</v>
      </c>
      <c r="C61" s="21" t="s">
        <v>126</v>
      </c>
      <c r="D61" s="5">
        <v>2</v>
      </c>
      <c r="E61" s="5" t="s">
        <v>38</v>
      </c>
      <c r="F61" s="21" t="s">
        <v>125</v>
      </c>
      <c r="G61" s="7">
        <v>46346</v>
      </c>
      <c r="H61" s="5" t="s">
        <v>23</v>
      </c>
      <c r="I61" s="6"/>
    </row>
    <row r="62" spans="1:9" x14ac:dyDescent="0.3">
      <c r="A62" s="5">
        <v>61</v>
      </c>
      <c r="B62" s="5" t="s">
        <v>123</v>
      </c>
      <c r="C62" s="21" t="s">
        <v>127</v>
      </c>
      <c r="D62" s="5">
        <v>1</v>
      </c>
      <c r="E62" s="5" t="s">
        <v>38</v>
      </c>
      <c r="F62" s="21" t="s">
        <v>128</v>
      </c>
      <c r="G62" s="7">
        <v>46346</v>
      </c>
      <c r="H62" s="5" t="s">
        <v>23</v>
      </c>
      <c r="I62" s="6"/>
    </row>
    <row r="63" spans="1:9" x14ac:dyDescent="0.3">
      <c r="A63" s="5">
        <v>62</v>
      </c>
      <c r="B63" s="5" t="s">
        <v>123</v>
      </c>
      <c r="C63" s="21" t="s">
        <v>129</v>
      </c>
      <c r="D63" s="5">
        <v>1</v>
      </c>
      <c r="E63" s="5" t="s">
        <v>38</v>
      </c>
      <c r="F63" s="21" t="s">
        <v>130</v>
      </c>
      <c r="G63" s="7">
        <v>46346</v>
      </c>
      <c r="H63" s="5" t="s">
        <v>23</v>
      </c>
      <c r="I63" s="6"/>
    </row>
    <row r="64" spans="1:9" x14ac:dyDescent="0.3">
      <c r="A64" s="5">
        <v>63</v>
      </c>
      <c r="B64" s="5" t="s">
        <v>131</v>
      </c>
      <c r="C64" s="21" t="s">
        <v>132</v>
      </c>
      <c r="D64" s="5">
        <v>3</v>
      </c>
      <c r="E64" s="5" t="s">
        <v>22</v>
      </c>
      <c r="F64" s="21" t="s">
        <v>55</v>
      </c>
      <c r="G64" s="7">
        <v>46343</v>
      </c>
      <c r="H64" s="5" t="s">
        <v>23</v>
      </c>
      <c r="I64" s="6"/>
    </row>
    <row r="65" spans="1:9" x14ac:dyDescent="0.3">
      <c r="A65" s="5">
        <v>64</v>
      </c>
      <c r="B65" s="5" t="s">
        <v>131</v>
      </c>
      <c r="C65" s="21" t="s">
        <v>133</v>
      </c>
      <c r="D65" s="5">
        <v>3</v>
      </c>
      <c r="E65" s="5" t="s">
        <v>22</v>
      </c>
      <c r="F65" s="21" t="s">
        <v>134</v>
      </c>
      <c r="G65" s="7">
        <v>46343</v>
      </c>
      <c r="H65" s="5" t="s">
        <v>23</v>
      </c>
      <c r="I65" s="6"/>
    </row>
    <row r="66" spans="1:9" x14ac:dyDescent="0.3">
      <c r="A66" s="5">
        <v>65</v>
      </c>
      <c r="B66" s="5" t="s">
        <v>131</v>
      </c>
      <c r="C66" s="21" t="s">
        <v>135</v>
      </c>
      <c r="D66" s="5">
        <v>2</v>
      </c>
      <c r="E66" s="5" t="s">
        <v>22</v>
      </c>
      <c r="F66" s="21" t="s">
        <v>136</v>
      </c>
      <c r="G66" s="7">
        <v>46343</v>
      </c>
      <c r="H66" s="5" t="s">
        <v>23</v>
      </c>
      <c r="I66" s="6"/>
    </row>
    <row r="67" spans="1:9" x14ac:dyDescent="0.3">
      <c r="A67" s="5">
        <v>66</v>
      </c>
      <c r="B67" s="5" t="s">
        <v>137</v>
      </c>
      <c r="C67" s="21" t="s">
        <v>138</v>
      </c>
      <c r="D67" s="5">
        <v>3</v>
      </c>
      <c r="E67" s="5" t="s">
        <v>22</v>
      </c>
      <c r="F67" s="21"/>
      <c r="G67" s="7">
        <v>46332</v>
      </c>
      <c r="H67" s="5" t="s">
        <v>23</v>
      </c>
      <c r="I67" s="6"/>
    </row>
    <row r="68" spans="1:9" x14ac:dyDescent="0.3">
      <c r="A68" s="5">
        <v>67</v>
      </c>
      <c r="B68" s="5" t="s">
        <v>137</v>
      </c>
      <c r="C68" s="21" t="s">
        <v>139</v>
      </c>
      <c r="D68" s="5">
        <v>3</v>
      </c>
      <c r="E68" s="5" t="s">
        <v>22</v>
      </c>
      <c r="F68" s="21" t="s">
        <v>140</v>
      </c>
      <c r="G68" s="7">
        <v>46343</v>
      </c>
      <c r="H68" s="5" t="s">
        <v>23</v>
      </c>
      <c r="I68" s="6"/>
    </row>
    <row r="69" spans="1:9" x14ac:dyDescent="0.3">
      <c r="A69" s="5">
        <v>68</v>
      </c>
      <c r="B69" s="5" t="s">
        <v>137</v>
      </c>
      <c r="C69" s="21" t="s">
        <v>141</v>
      </c>
      <c r="D69" s="5">
        <v>4</v>
      </c>
      <c r="E69" s="5" t="s">
        <v>22</v>
      </c>
      <c r="F69" s="21" t="s">
        <v>142</v>
      </c>
      <c r="G69" s="7">
        <v>46346</v>
      </c>
      <c r="H69" s="5" t="s">
        <v>23</v>
      </c>
      <c r="I69" s="6"/>
    </row>
    <row r="70" spans="1:9" ht="26.4" x14ac:dyDescent="0.3">
      <c r="A70" s="5">
        <v>69</v>
      </c>
      <c r="B70" s="5" t="s">
        <v>137</v>
      </c>
      <c r="C70" s="21" t="s">
        <v>143</v>
      </c>
      <c r="D70" s="5">
        <v>2</v>
      </c>
      <c r="E70" s="5" t="s">
        <v>22</v>
      </c>
      <c r="F70" s="21" t="s">
        <v>144</v>
      </c>
      <c r="G70" s="7">
        <v>46350</v>
      </c>
      <c r="H70" s="5" t="s">
        <v>23</v>
      </c>
      <c r="I70" s="6"/>
    </row>
    <row r="71" spans="1:9" x14ac:dyDescent="0.3">
      <c r="A71" s="5">
        <v>70</v>
      </c>
      <c r="B71" s="5" t="s">
        <v>137</v>
      </c>
      <c r="C71" s="21" t="s">
        <v>145</v>
      </c>
      <c r="D71" s="5">
        <v>1</v>
      </c>
      <c r="E71" s="5" t="s">
        <v>25</v>
      </c>
      <c r="F71" s="21" t="s">
        <v>146</v>
      </c>
      <c r="G71" s="7">
        <v>46346</v>
      </c>
      <c r="H71" s="5" t="s">
        <v>23</v>
      </c>
      <c r="I71" s="6"/>
    </row>
    <row r="72" spans="1:9" x14ac:dyDescent="0.3">
      <c r="A72" s="5">
        <v>71</v>
      </c>
      <c r="B72" s="5" t="s">
        <v>137</v>
      </c>
      <c r="C72" s="21" t="s">
        <v>147</v>
      </c>
      <c r="D72" s="5">
        <v>2</v>
      </c>
      <c r="E72" s="5" t="s">
        <v>25</v>
      </c>
      <c r="F72" s="21" t="s">
        <v>148</v>
      </c>
      <c r="G72" s="7">
        <v>46350</v>
      </c>
      <c r="H72" s="5" t="s">
        <v>23</v>
      </c>
      <c r="I72" s="6"/>
    </row>
    <row r="73" spans="1:9" x14ac:dyDescent="0.3">
      <c r="A73" s="5">
        <v>72</v>
      </c>
      <c r="B73" s="5" t="s">
        <v>149</v>
      </c>
      <c r="C73" s="21" t="s">
        <v>150</v>
      </c>
      <c r="D73" s="5">
        <v>2</v>
      </c>
      <c r="E73" s="5" t="s">
        <v>38</v>
      </c>
      <c r="F73" s="21" t="s">
        <v>134</v>
      </c>
      <c r="G73" s="7">
        <v>46356</v>
      </c>
      <c r="H73" s="5" t="s">
        <v>23</v>
      </c>
      <c r="I73" s="6"/>
    </row>
    <row r="74" spans="1:9" x14ac:dyDescent="0.3">
      <c r="A74" s="5">
        <v>73</v>
      </c>
      <c r="B74" s="5" t="s">
        <v>149</v>
      </c>
      <c r="C74" s="21" t="s">
        <v>151</v>
      </c>
      <c r="D74" s="5">
        <v>2</v>
      </c>
      <c r="E74" s="5" t="s">
        <v>38</v>
      </c>
      <c r="F74" s="21" t="s">
        <v>134</v>
      </c>
      <c r="G74" s="7">
        <v>46356</v>
      </c>
      <c r="H74" s="5" t="s">
        <v>23</v>
      </c>
      <c r="I74" s="6"/>
    </row>
    <row r="75" spans="1:9" x14ac:dyDescent="0.3">
      <c r="A75" s="5">
        <v>74</v>
      </c>
      <c r="B75" s="5" t="s">
        <v>149</v>
      </c>
      <c r="C75" s="21" t="s">
        <v>152</v>
      </c>
      <c r="D75" s="5">
        <v>2</v>
      </c>
      <c r="E75" s="5" t="s">
        <v>28</v>
      </c>
      <c r="F75" s="21" t="s">
        <v>153</v>
      </c>
      <c r="G75" s="7">
        <v>46356</v>
      </c>
      <c r="H75" s="5" t="s">
        <v>23</v>
      </c>
      <c r="I75" s="6"/>
    </row>
    <row r="76" spans="1:9" ht="26.4" x14ac:dyDescent="0.3">
      <c r="A76" s="5">
        <v>75</v>
      </c>
      <c r="B76" s="5" t="s">
        <v>149</v>
      </c>
      <c r="C76" s="21" t="s">
        <v>154</v>
      </c>
      <c r="D76" s="5">
        <v>2</v>
      </c>
      <c r="E76" s="5" t="s">
        <v>38</v>
      </c>
      <c r="F76" s="21" t="s">
        <v>155</v>
      </c>
      <c r="G76" s="7">
        <v>46356</v>
      </c>
      <c r="H76" s="5" t="s">
        <v>23</v>
      </c>
      <c r="I76" s="6"/>
    </row>
    <row r="77" spans="1:9" x14ac:dyDescent="0.3">
      <c r="A77" s="5">
        <v>76</v>
      </c>
      <c r="B77" s="5" t="s">
        <v>149</v>
      </c>
      <c r="C77" s="21" t="s">
        <v>156</v>
      </c>
      <c r="D77" s="5">
        <v>1</v>
      </c>
      <c r="E77" s="5" t="s">
        <v>38</v>
      </c>
      <c r="F77" s="21" t="s">
        <v>157</v>
      </c>
      <c r="G77" s="7">
        <v>46356</v>
      </c>
      <c r="H77" s="5" t="s">
        <v>23</v>
      </c>
      <c r="I77" s="6"/>
    </row>
    <row r="78" spans="1:9" x14ac:dyDescent="0.3">
      <c r="A78" s="5">
        <v>77</v>
      </c>
      <c r="B78" s="5" t="s">
        <v>149</v>
      </c>
      <c r="C78" s="21" t="s">
        <v>158</v>
      </c>
      <c r="D78" s="5">
        <v>2</v>
      </c>
      <c r="E78" s="5" t="s">
        <v>28</v>
      </c>
      <c r="F78" s="21"/>
      <c r="G78" s="7">
        <v>46336</v>
      </c>
      <c r="H78" s="5" t="s">
        <v>23</v>
      </c>
      <c r="I78" s="6"/>
    </row>
    <row r="79" spans="1:9" x14ac:dyDescent="0.3">
      <c r="A79" s="5">
        <v>78</v>
      </c>
      <c r="B79" s="5" t="s">
        <v>159</v>
      </c>
      <c r="C79" s="21" t="s">
        <v>160</v>
      </c>
      <c r="D79" s="5">
        <v>3</v>
      </c>
      <c r="E79" s="5" t="s">
        <v>28</v>
      </c>
      <c r="F79" s="21" t="s">
        <v>161</v>
      </c>
      <c r="G79" s="7">
        <v>46358</v>
      </c>
      <c r="H79" s="5" t="s">
        <v>23</v>
      </c>
      <c r="I79" s="6"/>
    </row>
    <row r="80" spans="1:9" x14ac:dyDescent="0.3">
      <c r="A80" s="5">
        <v>79</v>
      </c>
      <c r="B80" s="5" t="s">
        <v>159</v>
      </c>
      <c r="C80" s="21" t="s">
        <v>162</v>
      </c>
      <c r="D80" s="5">
        <v>2</v>
      </c>
      <c r="E80" s="5" t="s">
        <v>28</v>
      </c>
      <c r="F80" s="21" t="s">
        <v>163</v>
      </c>
      <c r="G80" s="7">
        <v>46358</v>
      </c>
      <c r="H80" s="5" t="s">
        <v>23</v>
      </c>
      <c r="I80" s="6"/>
    </row>
    <row r="81" spans="1:9" x14ac:dyDescent="0.3">
      <c r="A81" s="5">
        <v>80</v>
      </c>
      <c r="B81" s="5" t="s">
        <v>159</v>
      </c>
      <c r="C81" s="21" t="s">
        <v>164</v>
      </c>
      <c r="D81" s="5">
        <v>1</v>
      </c>
      <c r="E81" s="5" t="s">
        <v>38</v>
      </c>
      <c r="F81" s="21" t="s">
        <v>165</v>
      </c>
      <c r="G81" s="7">
        <v>46358</v>
      </c>
      <c r="H81" s="5" t="s">
        <v>23</v>
      </c>
      <c r="I81" s="6"/>
    </row>
    <row r="82" spans="1:9" x14ac:dyDescent="0.3">
      <c r="A82" s="5">
        <v>81</v>
      </c>
      <c r="B82" s="5" t="s">
        <v>159</v>
      </c>
      <c r="C82" s="21" t="s">
        <v>166</v>
      </c>
      <c r="D82" s="5">
        <v>1</v>
      </c>
      <c r="E82" s="5" t="s">
        <v>38</v>
      </c>
      <c r="F82" s="21" t="s">
        <v>167</v>
      </c>
      <c r="G82" s="7">
        <v>46358</v>
      </c>
      <c r="H82" s="5" t="s">
        <v>23</v>
      </c>
      <c r="I82" s="6"/>
    </row>
    <row r="83" spans="1:9" x14ac:dyDescent="0.3">
      <c r="A83" s="5">
        <v>82</v>
      </c>
      <c r="B83" s="5" t="s">
        <v>159</v>
      </c>
      <c r="C83" s="21" t="s">
        <v>168</v>
      </c>
      <c r="D83" s="5">
        <v>2</v>
      </c>
      <c r="E83" s="5" t="s">
        <v>25</v>
      </c>
      <c r="F83" s="21" t="s">
        <v>169</v>
      </c>
      <c r="G83" s="7">
        <v>46340</v>
      </c>
      <c r="H83" s="5" t="s">
        <v>23</v>
      </c>
      <c r="I83" s="6"/>
    </row>
    <row r="84" spans="1:9" x14ac:dyDescent="0.3">
      <c r="A84" s="5">
        <v>83</v>
      </c>
      <c r="B84" s="5" t="s">
        <v>159</v>
      </c>
      <c r="C84" s="21" t="s">
        <v>170</v>
      </c>
      <c r="D84" s="5">
        <v>2</v>
      </c>
      <c r="E84" s="5" t="s">
        <v>25</v>
      </c>
      <c r="F84" s="21" t="s">
        <v>171</v>
      </c>
      <c r="G84" s="7">
        <v>46358</v>
      </c>
      <c r="H84" s="5" t="s">
        <v>23</v>
      </c>
      <c r="I84" s="6"/>
    </row>
    <row r="85" spans="1:9" x14ac:dyDescent="0.3">
      <c r="A85" s="5">
        <v>84</v>
      </c>
      <c r="B85" s="5" t="s">
        <v>159</v>
      </c>
      <c r="C85" s="21" t="s">
        <v>172</v>
      </c>
      <c r="D85" s="5">
        <v>2</v>
      </c>
      <c r="E85" s="5" t="s">
        <v>25</v>
      </c>
      <c r="F85" s="21"/>
      <c r="G85" s="7">
        <v>46359</v>
      </c>
      <c r="H85" s="5" t="s">
        <v>23</v>
      </c>
      <c r="I85" s="6"/>
    </row>
    <row r="86" spans="1:9" x14ac:dyDescent="0.3">
      <c r="A86" s="5">
        <v>85</v>
      </c>
      <c r="B86" s="5" t="s">
        <v>173</v>
      </c>
      <c r="C86" s="21" t="s">
        <v>174</v>
      </c>
      <c r="D86" s="5">
        <v>1</v>
      </c>
      <c r="E86" s="5" t="s">
        <v>22</v>
      </c>
      <c r="F86" s="21"/>
      <c r="G86" s="7">
        <v>46359</v>
      </c>
      <c r="H86" s="5" t="s">
        <v>23</v>
      </c>
      <c r="I86" s="6"/>
    </row>
    <row r="87" spans="1:9" x14ac:dyDescent="0.3">
      <c r="A87" s="5">
        <v>86</v>
      </c>
      <c r="B87" s="5" t="s">
        <v>173</v>
      </c>
      <c r="C87" s="21" t="s">
        <v>175</v>
      </c>
      <c r="D87" s="5">
        <v>1</v>
      </c>
      <c r="E87" s="5" t="s">
        <v>25</v>
      </c>
      <c r="F87" s="21"/>
      <c r="G87" s="7">
        <v>46359</v>
      </c>
      <c r="H87" s="5" t="s">
        <v>23</v>
      </c>
      <c r="I87" s="6"/>
    </row>
    <row r="88" spans="1:9" x14ac:dyDescent="0.3">
      <c r="A88" s="5">
        <v>87</v>
      </c>
      <c r="B88" s="5" t="s">
        <v>173</v>
      </c>
      <c r="C88" s="21" t="s">
        <v>176</v>
      </c>
      <c r="D88" s="5">
        <v>1</v>
      </c>
      <c r="E88" s="5" t="s">
        <v>28</v>
      </c>
      <c r="F88" s="21"/>
      <c r="G88" s="7">
        <v>46359</v>
      </c>
      <c r="H88" s="5" t="s">
        <v>23</v>
      </c>
      <c r="I88" s="6"/>
    </row>
    <row r="89" spans="1:9" x14ac:dyDescent="0.3">
      <c r="A89" s="5">
        <v>88</v>
      </c>
      <c r="B89" s="5" t="s">
        <v>173</v>
      </c>
      <c r="C89" s="21" t="s">
        <v>177</v>
      </c>
      <c r="D89" s="5">
        <v>1</v>
      </c>
      <c r="E89" s="5" t="s">
        <v>38</v>
      </c>
      <c r="F89" s="21"/>
      <c r="G89" s="7">
        <v>46359</v>
      </c>
      <c r="H89" s="5" t="s">
        <v>23</v>
      </c>
      <c r="I89" s="6"/>
    </row>
    <row r="90" spans="1:9" x14ac:dyDescent="0.3">
      <c r="A90" s="5">
        <v>89</v>
      </c>
      <c r="B90" s="5" t="s">
        <v>173</v>
      </c>
      <c r="C90" s="21" t="s">
        <v>178</v>
      </c>
      <c r="D90" s="5">
        <v>2</v>
      </c>
      <c r="E90" s="5" t="s">
        <v>25</v>
      </c>
      <c r="F90" s="21"/>
      <c r="G90" s="7">
        <v>46359</v>
      </c>
      <c r="H90" s="5" t="s">
        <v>23</v>
      </c>
      <c r="I90" s="6"/>
    </row>
    <row r="91" spans="1:9" x14ac:dyDescent="0.3">
      <c r="A91" s="5">
        <v>90</v>
      </c>
      <c r="B91" s="5" t="s">
        <v>173</v>
      </c>
      <c r="C91" s="21" t="s">
        <v>179</v>
      </c>
      <c r="D91" s="5">
        <v>1</v>
      </c>
      <c r="E91" s="5" t="s">
        <v>25</v>
      </c>
      <c r="F91" s="21"/>
      <c r="G91" s="7">
        <v>46360</v>
      </c>
      <c r="H91" s="5" t="s">
        <v>23</v>
      </c>
      <c r="I91" s="6"/>
    </row>
    <row r="92" spans="1:9" x14ac:dyDescent="0.3">
      <c r="A92" s="5">
        <v>91</v>
      </c>
      <c r="B92" s="5" t="s">
        <v>173</v>
      </c>
      <c r="C92" s="21" t="s">
        <v>180</v>
      </c>
      <c r="D92" s="5">
        <v>1</v>
      </c>
      <c r="E92" s="5" t="s">
        <v>28</v>
      </c>
      <c r="F92" s="21"/>
      <c r="G92" s="7">
        <v>46360</v>
      </c>
      <c r="H92" s="5" t="s">
        <v>23</v>
      </c>
      <c r="I92" s="6"/>
    </row>
    <row r="93" spans="1:9" x14ac:dyDescent="0.3">
      <c r="A93" s="5">
        <v>92</v>
      </c>
      <c r="B93" s="5" t="s">
        <v>173</v>
      </c>
      <c r="C93" s="21" t="s">
        <v>181</v>
      </c>
      <c r="D93" s="5">
        <v>1</v>
      </c>
      <c r="E93" s="5" t="s">
        <v>38</v>
      </c>
      <c r="F93" s="21"/>
      <c r="G93" s="7">
        <v>46360</v>
      </c>
      <c r="H93" s="5" t="s">
        <v>23</v>
      </c>
      <c r="I93" s="6"/>
    </row>
    <row r="94" spans="1:9" x14ac:dyDescent="0.3">
      <c r="A94" s="5">
        <v>93</v>
      </c>
      <c r="B94" s="5" t="s">
        <v>173</v>
      </c>
      <c r="C94" s="21" t="s">
        <v>182</v>
      </c>
      <c r="D94" s="5">
        <v>1</v>
      </c>
      <c r="E94" s="5" t="s">
        <v>22</v>
      </c>
      <c r="F94" s="21"/>
      <c r="G94" s="7">
        <v>46360</v>
      </c>
      <c r="H94" s="5" t="s">
        <v>23</v>
      </c>
      <c r="I94" s="6"/>
    </row>
    <row r="95" spans="1:9" x14ac:dyDescent="0.3">
      <c r="A95" s="5">
        <v>94</v>
      </c>
      <c r="B95" s="5" t="s">
        <v>173</v>
      </c>
      <c r="C95" s="21" t="s">
        <v>183</v>
      </c>
      <c r="D95" s="5">
        <v>1</v>
      </c>
      <c r="E95" s="5" t="s">
        <v>22</v>
      </c>
      <c r="F95" s="21" t="s">
        <v>184</v>
      </c>
      <c r="G95" s="7">
        <v>46360</v>
      </c>
      <c r="H95" s="5" t="s">
        <v>23</v>
      </c>
      <c r="I95" s="6"/>
    </row>
    <row r="96" spans="1:9" x14ac:dyDescent="0.3">
      <c r="A96" s="5">
        <v>95</v>
      </c>
      <c r="B96" s="5" t="s">
        <v>173</v>
      </c>
      <c r="C96" s="21" t="s">
        <v>185</v>
      </c>
      <c r="D96" s="5">
        <v>3</v>
      </c>
      <c r="E96" s="5" t="s">
        <v>22</v>
      </c>
      <c r="F96" s="21"/>
      <c r="G96" s="7">
        <v>46361</v>
      </c>
      <c r="H96" s="5" t="s">
        <v>23</v>
      </c>
      <c r="I96" s="6"/>
    </row>
    <row r="97" spans="1:9" ht="26.4" x14ac:dyDescent="0.3">
      <c r="A97" s="5">
        <v>96</v>
      </c>
      <c r="B97" s="5" t="s">
        <v>186</v>
      </c>
      <c r="C97" s="21" t="s">
        <v>187</v>
      </c>
      <c r="D97" s="5">
        <v>2</v>
      </c>
      <c r="E97" s="5" t="s">
        <v>22</v>
      </c>
      <c r="F97" s="21"/>
      <c r="G97" s="7">
        <v>46327</v>
      </c>
      <c r="H97" s="5" t="s">
        <v>23</v>
      </c>
      <c r="I97" s="6"/>
    </row>
    <row r="98" spans="1:9" x14ac:dyDescent="0.3">
      <c r="A98" s="5">
        <v>97</v>
      </c>
      <c r="B98" s="5" t="s">
        <v>186</v>
      </c>
      <c r="C98" s="21" t="s">
        <v>188</v>
      </c>
      <c r="D98" s="5">
        <v>2</v>
      </c>
      <c r="E98" s="5" t="s">
        <v>25</v>
      </c>
      <c r="F98" s="21" t="s">
        <v>55</v>
      </c>
      <c r="G98" s="7">
        <v>46334</v>
      </c>
      <c r="H98" s="5" t="s">
        <v>23</v>
      </c>
      <c r="I98" s="6"/>
    </row>
    <row r="99" spans="1:9" ht="26.4" x14ac:dyDescent="0.3">
      <c r="A99" s="5">
        <v>98</v>
      </c>
      <c r="B99" s="5" t="s">
        <v>186</v>
      </c>
      <c r="C99" s="21" t="s">
        <v>189</v>
      </c>
      <c r="D99" s="5">
        <v>1</v>
      </c>
      <c r="E99" s="5" t="s">
        <v>22</v>
      </c>
      <c r="F99" s="21"/>
      <c r="G99" s="7">
        <v>46327</v>
      </c>
      <c r="H99" s="5" t="s">
        <v>23</v>
      </c>
      <c r="I99" s="6"/>
    </row>
    <row r="100" spans="1:9" x14ac:dyDescent="0.3">
      <c r="A100" s="5">
        <v>99</v>
      </c>
      <c r="B100" s="5" t="s">
        <v>186</v>
      </c>
      <c r="C100" s="21" t="s">
        <v>190</v>
      </c>
      <c r="D100" s="5">
        <v>2</v>
      </c>
      <c r="E100" s="5" t="s">
        <v>28</v>
      </c>
      <c r="F100" s="21"/>
      <c r="G100" s="7">
        <v>46358</v>
      </c>
      <c r="H100" s="5" t="s">
        <v>23</v>
      </c>
      <c r="I100" s="6"/>
    </row>
    <row r="101" spans="1:9" x14ac:dyDescent="0.3">
      <c r="A101" s="5">
        <v>100</v>
      </c>
      <c r="B101" s="5" t="s">
        <v>186</v>
      </c>
      <c r="C101" s="21" t="s">
        <v>191</v>
      </c>
      <c r="D101" s="5">
        <v>2</v>
      </c>
      <c r="E101" s="5" t="s">
        <v>28</v>
      </c>
      <c r="F101" s="21" t="s">
        <v>192</v>
      </c>
      <c r="G101" s="7">
        <v>46338</v>
      </c>
      <c r="H101" s="5" t="s">
        <v>23</v>
      </c>
      <c r="I101" s="6"/>
    </row>
    <row r="102" spans="1:9" ht="26.4" x14ac:dyDescent="0.3">
      <c r="A102" s="5">
        <v>101</v>
      </c>
      <c r="B102" s="5" t="s">
        <v>186</v>
      </c>
      <c r="C102" s="21" t="s">
        <v>193</v>
      </c>
      <c r="D102" s="5">
        <v>2</v>
      </c>
      <c r="E102" s="5" t="s">
        <v>38</v>
      </c>
      <c r="F102" s="21" t="s">
        <v>194</v>
      </c>
      <c r="G102" s="7">
        <v>46340</v>
      </c>
      <c r="H102" s="5" t="s">
        <v>23</v>
      </c>
      <c r="I102" s="6"/>
    </row>
  </sheetData>
  <autoFilter ref="A1:I102" xr:uid="{00000000-0009-0000-0000-000001000000}">
    <sortState xmlns:xlrd2="http://schemas.microsoft.com/office/spreadsheetml/2017/richdata2" ref="A2:I102">
      <sortCondition ref="A1:A102"/>
    </sortState>
  </autoFilter>
  <conditionalFormatting sqref="E2:E102">
    <cfRule type="cellIs" dxfId="10" priority="1" operator="equal">
      <formula>"Mohamed"</formula>
    </cfRule>
    <cfRule type="cellIs" dxfId="9" priority="2" operator="equal">
      <formula>"Nour"</formula>
    </cfRule>
    <cfRule type="cellIs" dxfId="8" priority="3" operator="equal">
      <formula>"Rahma"</formula>
    </cfRule>
    <cfRule type="cellIs" dxfId="7" priority="4" operator="equal">
      <formula>"Hesham"</formula>
    </cfRule>
  </conditionalFormatting>
  <conditionalFormatting sqref="H2:H102">
    <cfRule type="cellIs" dxfId="6" priority="5" operator="equal">
      <formula>"Done"</formula>
    </cfRule>
    <cfRule type="cellIs" dxfId="5" priority="6" operator="equal">
      <formula>"In progress"</formula>
    </cfRule>
    <cfRule type="cellIs" dxfId="4" priority="7" operator="equal">
      <formula>"In review"</formula>
    </cfRule>
    <cfRule type="cellIs" dxfId="3" priority="8" operator="equal">
      <formula>"Blocked"</formula>
    </cfRule>
  </conditionalFormatting>
  <conditionalFormatting sqref="G2:G102">
    <cfRule type="expression" dxfId="2" priority="9">
      <formula>AND($G2&lt;TODAY(),$H2&lt;&gt;"Done")</formula>
    </cfRule>
  </conditionalFormatting>
  <dataValidations count="2">
    <dataValidation type="list" sqref="H2:H102" xr:uid="{00000000-0002-0000-0100-000000000000}">
      <formula1>"Not started,In progress,In review,Done,Blocked"</formula1>
    </dataValidation>
    <dataValidation type="list" sqref="E2:E102" xr:uid="{00000000-0002-0000-0100-000001000000}">
      <formula1>"Mohamed,Nour,Rahma,Hesham"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
  <sheetViews>
    <sheetView workbookViewId="0"/>
  </sheetViews>
  <sheetFormatPr defaultRowHeight="14.4" x14ac:dyDescent="0.3"/>
  <cols>
    <col min="1" max="1" width="32" customWidth="1"/>
    <col min="2" max="9" width="15" customWidth="1"/>
  </cols>
  <sheetData>
    <row r="1" spans="1:9" ht="17.399999999999999" x14ac:dyDescent="0.3">
      <c r="A1" s="1" t="s">
        <v>195</v>
      </c>
    </row>
    <row r="3" spans="1:9" ht="31.95" customHeight="1" x14ac:dyDescent="0.3">
      <c r="A3" s="4" t="s">
        <v>196</v>
      </c>
      <c r="B3" s="4" t="s">
        <v>197</v>
      </c>
      <c r="C3" s="4" t="s">
        <v>198</v>
      </c>
      <c r="D3" s="4" t="s">
        <v>199</v>
      </c>
      <c r="E3" s="4" t="s">
        <v>200</v>
      </c>
      <c r="F3" s="4" t="s">
        <v>201</v>
      </c>
      <c r="G3" s="4" t="s">
        <v>202</v>
      </c>
      <c r="H3" s="4" t="s">
        <v>203</v>
      </c>
      <c r="I3" s="4" t="s">
        <v>204</v>
      </c>
    </row>
    <row r="4" spans="1:9" x14ac:dyDescent="0.3">
      <c r="A4" s="8" t="s">
        <v>22</v>
      </c>
      <c r="B4" s="9">
        <f>SUMIFS(Tasks!$D$2:$D$300,Tasks!$E$2:$E$300,A4)</f>
        <v>56</v>
      </c>
      <c r="C4" s="10">
        <f>IFERROR(B4/$B$8,0)</f>
        <v>0.26046511627906976</v>
      </c>
      <c r="D4" s="9">
        <f>COUNTIFS(Tasks!$E$2:$E$300,A4)</f>
        <v>28</v>
      </c>
      <c r="E4" s="9">
        <f>SUMIFS(Tasks!$D$2:$D$300,Tasks!$E$2:$E$300,A4,Tasks!$H$2:$H$300,"Done")</f>
        <v>0</v>
      </c>
      <c r="F4" s="10">
        <f>IFERROR(E4/B4,0)</f>
        <v>0</v>
      </c>
      <c r="G4" s="9">
        <f>B4-E4</f>
        <v>56</v>
      </c>
      <c r="H4" s="9">
        <f>B4-I4</f>
        <v>53</v>
      </c>
      <c r="I4" s="9">
        <f>SUMIFS(Tasks!$D$2:$D$300,Tasks!$E$2:$E$300,A4,Tasks!$B$2:$B$300,"15. *")</f>
        <v>3</v>
      </c>
    </row>
    <row r="5" spans="1:9" x14ac:dyDescent="0.3">
      <c r="A5" s="11" t="s">
        <v>25</v>
      </c>
      <c r="B5" s="9">
        <f>SUMIFS(Tasks!$D$2:$D$300,Tasks!$E$2:$E$300,A5)</f>
        <v>53</v>
      </c>
      <c r="C5" s="10">
        <f>IFERROR(B5/$B$8,0)</f>
        <v>0.24651162790697675</v>
      </c>
      <c r="D5" s="9">
        <f>COUNTIFS(Tasks!$E$2:$E$300,A5)</f>
        <v>23</v>
      </c>
      <c r="E5" s="9">
        <f>SUMIFS(Tasks!$D$2:$D$300,Tasks!$E$2:$E$300,A5,Tasks!$H$2:$H$300,"Done")</f>
        <v>0</v>
      </c>
      <c r="F5" s="10">
        <f>IFERROR(E5/B5,0)</f>
        <v>0</v>
      </c>
      <c r="G5" s="9">
        <f>B5-E5</f>
        <v>53</v>
      </c>
      <c r="H5" s="9">
        <f>B5-I5</f>
        <v>51</v>
      </c>
      <c r="I5" s="9">
        <f>SUMIFS(Tasks!$D$2:$D$300,Tasks!$E$2:$E$300,A5,Tasks!$B$2:$B$300,"15. *")</f>
        <v>2</v>
      </c>
    </row>
    <row r="6" spans="1:9" x14ac:dyDescent="0.3">
      <c r="A6" s="12" t="s">
        <v>28</v>
      </c>
      <c r="B6" s="9">
        <f>SUMIFS(Tasks!$D$2:$D$300,Tasks!$E$2:$E$300,A6)</f>
        <v>53</v>
      </c>
      <c r="C6" s="10">
        <f>IFERROR(B6/$B$8,0)</f>
        <v>0.24651162790697675</v>
      </c>
      <c r="D6" s="9">
        <f>COUNTIFS(Tasks!$E$2:$E$300,A6)</f>
        <v>24</v>
      </c>
      <c r="E6" s="9">
        <f>SUMIFS(Tasks!$D$2:$D$300,Tasks!$E$2:$E$300,A6,Tasks!$H$2:$H$300,"Done")</f>
        <v>0</v>
      </c>
      <c r="F6" s="10">
        <f>IFERROR(E6/B6,0)</f>
        <v>0</v>
      </c>
      <c r="G6" s="9">
        <f>B6-E6</f>
        <v>53</v>
      </c>
      <c r="H6" s="9">
        <f>B6-I6</f>
        <v>49</v>
      </c>
      <c r="I6" s="9">
        <f>SUMIFS(Tasks!$D$2:$D$300,Tasks!$E$2:$E$300,A6,Tasks!$B$2:$B$300,"15. *")</f>
        <v>4</v>
      </c>
    </row>
    <row r="7" spans="1:9" x14ac:dyDescent="0.3">
      <c r="A7" s="13" t="s">
        <v>38</v>
      </c>
      <c r="B7" s="9">
        <f>SUMIFS(Tasks!$D$2:$D$300,Tasks!$E$2:$E$300,A7)</f>
        <v>53</v>
      </c>
      <c r="C7" s="10">
        <f>IFERROR(B7/$B$8,0)</f>
        <v>0.24651162790697675</v>
      </c>
      <c r="D7" s="9">
        <f>COUNTIFS(Tasks!$E$2:$E$300,A7)</f>
        <v>26</v>
      </c>
      <c r="E7" s="9">
        <f>SUMIFS(Tasks!$D$2:$D$300,Tasks!$E$2:$E$300,A7,Tasks!$H$2:$H$300,"Done")</f>
        <v>0</v>
      </c>
      <c r="F7" s="10">
        <f>IFERROR(E7/B7,0)</f>
        <v>0</v>
      </c>
      <c r="G7" s="9">
        <f>B7-E7</f>
        <v>53</v>
      </c>
      <c r="H7" s="9">
        <f>B7-I7</f>
        <v>51</v>
      </c>
      <c r="I7" s="9">
        <f>SUMIFS(Tasks!$D$2:$D$300,Tasks!$E$2:$E$300,A7,Tasks!$B$2:$B$300,"15. *")</f>
        <v>2</v>
      </c>
    </row>
    <row r="8" spans="1:9" x14ac:dyDescent="0.3">
      <c r="A8" s="14" t="s">
        <v>205</v>
      </c>
      <c r="B8" s="15">
        <f>SUM(B4:B7)</f>
        <v>215</v>
      </c>
      <c r="C8" s="16">
        <f>SUM(C4:C7)</f>
        <v>1</v>
      </c>
      <c r="D8" s="15">
        <f>SUM(D4:D7)</f>
        <v>101</v>
      </c>
      <c r="E8" s="15">
        <f>SUM(E4:E7)</f>
        <v>0</v>
      </c>
      <c r="F8" s="16">
        <f>IFERROR(E8/B8,0)</f>
        <v>0</v>
      </c>
      <c r="G8" s="15">
        <f>SUM(G4:G7)</f>
        <v>215</v>
      </c>
      <c r="H8" s="15">
        <f>SUM(H4:H7)</f>
        <v>204</v>
      </c>
      <c r="I8" s="15">
        <f>SUM(I4:I7)</f>
        <v>11</v>
      </c>
    </row>
    <row r="11" spans="1:9" ht="15.6" x14ac:dyDescent="0.3">
      <c r="A11" s="17" t="s">
        <v>206</v>
      </c>
    </row>
    <row r="12" spans="1:9" x14ac:dyDescent="0.3">
      <c r="A12" s="18" t="s">
        <v>12</v>
      </c>
      <c r="B12" s="18" t="s">
        <v>22</v>
      </c>
      <c r="C12" s="18" t="s">
        <v>25</v>
      </c>
      <c r="D12" s="18" t="s">
        <v>28</v>
      </c>
      <c r="E12" s="18" t="s">
        <v>38</v>
      </c>
      <c r="F12" s="18" t="s">
        <v>207</v>
      </c>
    </row>
    <row r="13" spans="1:9" x14ac:dyDescent="0.3">
      <c r="A13" s="19" t="s">
        <v>20</v>
      </c>
      <c r="B13" s="9">
        <f>SUMIFS(Tasks!$D$2:$D$300,Tasks!$B$2:$B$300,$A13,Tasks!$E$2:$E$300,B$12)</f>
        <v>4</v>
      </c>
      <c r="C13" s="9">
        <f>SUMIFS(Tasks!$D$2:$D$300,Tasks!$B$2:$B$300,$A13,Tasks!$E$2:$E$300,C$12)</f>
        <v>2</v>
      </c>
      <c r="D13" s="9">
        <f>SUMIFS(Tasks!$D$2:$D$300,Tasks!$B$2:$B$300,$A13,Tasks!$E$2:$E$300,D$12)</f>
        <v>1</v>
      </c>
      <c r="E13" s="9">
        <f>SUMIFS(Tasks!$D$2:$D$300,Tasks!$B$2:$B$300,$A13,Tasks!$E$2:$E$300,E$12)</f>
        <v>0</v>
      </c>
      <c r="F13" s="9">
        <f t="shared" ref="F13:F28" si="0">SUM(B13:E13)</f>
        <v>7</v>
      </c>
    </row>
    <row r="14" spans="1:9" x14ac:dyDescent="0.3">
      <c r="A14" s="19" t="s">
        <v>32</v>
      </c>
      <c r="B14" s="9">
        <f>SUMIFS(Tasks!$D$2:$D$300,Tasks!$B$2:$B$300,$A14,Tasks!$E$2:$E$300,B$12)</f>
        <v>8</v>
      </c>
      <c r="C14" s="9">
        <f>SUMIFS(Tasks!$D$2:$D$300,Tasks!$B$2:$B$300,$A14,Tasks!$E$2:$E$300,C$12)</f>
        <v>0</v>
      </c>
      <c r="D14" s="9">
        <f>SUMIFS(Tasks!$D$2:$D$300,Tasks!$B$2:$B$300,$A14,Tasks!$E$2:$E$300,D$12)</f>
        <v>0</v>
      </c>
      <c r="E14" s="9">
        <f>SUMIFS(Tasks!$D$2:$D$300,Tasks!$B$2:$B$300,$A14,Tasks!$E$2:$E$300,E$12)</f>
        <v>2</v>
      </c>
      <c r="F14" s="9">
        <f t="shared" si="0"/>
        <v>10</v>
      </c>
    </row>
    <row r="15" spans="1:9" x14ac:dyDescent="0.3">
      <c r="A15" s="19" t="s">
        <v>43</v>
      </c>
      <c r="B15" s="9">
        <f>SUMIFS(Tasks!$D$2:$D$300,Tasks!$B$2:$B$300,$A15,Tasks!$E$2:$E$300,B$12)</f>
        <v>15</v>
      </c>
      <c r="C15" s="9">
        <f>SUMIFS(Tasks!$D$2:$D$300,Tasks!$B$2:$B$300,$A15,Tasks!$E$2:$E$300,C$12)</f>
        <v>0</v>
      </c>
      <c r="D15" s="9">
        <f>SUMIFS(Tasks!$D$2:$D$300,Tasks!$B$2:$B$300,$A15,Tasks!$E$2:$E$300,D$12)</f>
        <v>0</v>
      </c>
      <c r="E15" s="9">
        <f>SUMIFS(Tasks!$D$2:$D$300,Tasks!$B$2:$B$300,$A15,Tasks!$E$2:$E$300,E$12)</f>
        <v>0</v>
      </c>
      <c r="F15" s="9">
        <f t="shared" si="0"/>
        <v>15</v>
      </c>
    </row>
    <row r="16" spans="1:9" x14ac:dyDescent="0.3">
      <c r="A16" s="19" t="s">
        <v>53</v>
      </c>
      <c r="B16" s="9">
        <f>SUMIFS(Tasks!$D$2:$D$300,Tasks!$B$2:$B$300,$A16,Tasks!$E$2:$E$300,B$12)</f>
        <v>0</v>
      </c>
      <c r="C16" s="9">
        <f>SUMIFS(Tasks!$D$2:$D$300,Tasks!$B$2:$B$300,$A16,Tasks!$E$2:$E$300,C$12)</f>
        <v>25</v>
      </c>
      <c r="D16" s="9">
        <f>SUMIFS(Tasks!$D$2:$D$300,Tasks!$B$2:$B$300,$A16,Tasks!$E$2:$E$300,D$12)</f>
        <v>0</v>
      </c>
      <c r="E16" s="9">
        <f>SUMIFS(Tasks!$D$2:$D$300,Tasks!$B$2:$B$300,$A16,Tasks!$E$2:$E$300,E$12)</f>
        <v>0</v>
      </c>
      <c r="F16" s="9">
        <f t="shared" si="0"/>
        <v>25</v>
      </c>
    </row>
    <row r="17" spans="1:6" x14ac:dyDescent="0.3">
      <c r="A17" s="19" t="s">
        <v>69</v>
      </c>
      <c r="B17" s="9">
        <f>SUMIFS(Tasks!$D$2:$D$300,Tasks!$B$2:$B$300,$A17,Tasks!$E$2:$E$300,B$12)</f>
        <v>0</v>
      </c>
      <c r="C17" s="9">
        <f>SUMIFS(Tasks!$D$2:$D$300,Tasks!$B$2:$B$300,$A17,Tasks!$E$2:$E$300,C$12)</f>
        <v>0</v>
      </c>
      <c r="D17" s="9">
        <f>SUMIFS(Tasks!$D$2:$D$300,Tasks!$B$2:$B$300,$A17,Tasks!$E$2:$E$300,D$12)</f>
        <v>19</v>
      </c>
      <c r="E17" s="9">
        <f>SUMIFS(Tasks!$D$2:$D$300,Tasks!$B$2:$B$300,$A17,Tasks!$E$2:$E$300,E$12)</f>
        <v>0</v>
      </c>
      <c r="F17" s="9">
        <f t="shared" si="0"/>
        <v>19</v>
      </c>
    </row>
    <row r="18" spans="1:6" x14ac:dyDescent="0.3">
      <c r="A18" s="19" t="s">
        <v>82</v>
      </c>
      <c r="B18" s="9">
        <f>SUMIFS(Tasks!$D$2:$D$300,Tasks!$B$2:$B$300,$A18,Tasks!$E$2:$E$300,B$12)</f>
        <v>0</v>
      </c>
      <c r="C18" s="9">
        <f>SUMIFS(Tasks!$D$2:$D$300,Tasks!$B$2:$B$300,$A18,Tasks!$E$2:$E$300,C$12)</f>
        <v>0</v>
      </c>
      <c r="D18" s="9">
        <f>SUMIFS(Tasks!$D$2:$D$300,Tasks!$B$2:$B$300,$A18,Tasks!$E$2:$E$300,D$12)</f>
        <v>0</v>
      </c>
      <c r="E18" s="9">
        <f>SUMIFS(Tasks!$D$2:$D$300,Tasks!$B$2:$B$300,$A18,Tasks!$E$2:$E$300,E$12)</f>
        <v>15</v>
      </c>
      <c r="F18" s="9">
        <f t="shared" si="0"/>
        <v>15</v>
      </c>
    </row>
    <row r="19" spans="1:6" x14ac:dyDescent="0.3">
      <c r="A19" s="19" t="s">
        <v>90</v>
      </c>
      <c r="B19" s="9">
        <f>SUMIFS(Tasks!$D$2:$D$300,Tasks!$B$2:$B$300,$A19,Tasks!$E$2:$E$300,B$12)</f>
        <v>0</v>
      </c>
      <c r="C19" s="9">
        <f>SUMIFS(Tasks!$D$2:$D$300,Tasks!$B$2:$B$300,$A19,Tasks!$E$2:$E$300,C$12)</f>
        <v>0</v>
      </c>
      <c r="D19" s="9">
        <f>SUMIFS(Tasks!$D$2:$D$300,Tasks!$B$2:$B$300,$A19,Tasks!$E$2:$E$300,D$12)</f>
        <v>18</v>
      </c>
      <c r="E19" s="9">
        <f>SUMIFS(Tasks!$D$2:$D$300,Tasks!$B$2:$B$300,$A19,Tasks!$E$2:$E$300,E$12)</f>
        <v>0</v>
      </c>
      <c r="F19" s="9">
        <f t="shared" si="0"/>
        <v>18</v>
      </c>
    </row>
    <row r="20" spans="1:6" x14ac:dyDescent="0.3">
      <c r="A20" s="19" t="s">
        <v>104</v>
      </c>
      <c r="B20" s="9">
        <f>SUMIFS(Tasks!$D$2:$D$300,Tasks!$B$2:$B$300,$A20,Tasks!$E$2:$E$300,B$12)</f>
        <v>0</v>
      </c>
      <c r="C20" s="9">
        <f>SUMIFS(Tasks!$D$2:$D$300,Tasks!$B$2:$B$300,$A20,Tasks!$E$2:$E$300,C$12)</f>
        <v>11</v>
      </c>
      <c r="D20" s="9">
        <f>SUMIFS(Tasks!$D$2:$D$300,Tasks!$B$2:$B$300,$A20,Tasks!$E$2:$E$300,D$12)</f>
        <v>0</v>
      </c>
      <c r="E20" s="9">
        <f>SUMIFS(Tasks!$D$2:$D$300,Tasks!$B$2:$B$300,$A20,Tasks!$E$2:$E$300,E$12)</f>
        <v>0</v>
      </c>
      <c r="F20" s="9">
        <f t="shared" si="0"/>
        <v>11</v>
      </c>
    </row>
    <row r="21" spans="1:6" x14ac:dyDescent="0.3">
      <c r="A21" s="19" t="s">
        <v>112</v>
      </c>
      <c r="B21" s="9">
        <f>SUMIFS(Tasks!$D$2:$D$300,Tasks!$B$2:$B$300,$A21,Tasks!$E$2:$E$300,B$12)</f>
        <v>0</v>
      </c>
      <c r="C21" s="9">
        <f>SUMIFS(Tasks!$D$2:$D$300,Tasks!$B$2:$B$300,$A21,Tasks!$E$2:$E$300,C$12)</f>
        <v>0</v>
      </c>
      <c r="D21" s="9">
        <f>SUMIFS(Tasks!$D$2:$D$300,Tasks!$B$2:$B$300,$A21,Tasks!$E$2:$E$300,D$12)</f>
        <v>0</v>
      </c>
      <c r="E21" s="9">
        <f>SUMIFS(Tasks!$D$2:$D$300,Tasks!$B$2:$B$300,$A21,Tasks!$E$2:$E$300,E$12)</f>
        <v>16</v>
      </c>
      <c r="F21" s="9">
        <f t="shared" si="0"/>
        <v>16</v>
      </c>
    </row>
    <row r="22" spans="1:6" x14ac:dyDescent="0.3">
      <c r="A22" s="19" t="s">
        <v>123</v>
      </c>
      <c r="B22" s="9">
        <f>SUMIFS(Tasks!$D$2:$D$300,Tasks!$B$2:$B$300,$A22,Tasks!$E$2:$E$300,B$12)</f>
        <v>0</v>
      </c>
      <c r="C22" s="9">
        <f>SUMIFS(Tasks!$D$2:$D$300,Tasks!$B$2:$B$300,$A22,Tasks!$E$2:$E$300,C$12)</f>
        <v>0</v>
      </c>
      <c r="D22" s="9">
        <f>SUMIFS(Tasks!$D$2:$D$300,Tasks!$B$2:$B$300,$A22,Tasks!$E$2:$E$300,D$12)</f>
        <v>0</v>
      </c>
      <c r="E22" s="9">
        <f>SUMIFS(Tasks!$D$2:$D$300,Tasks!$B$2:$B$300,$A22,Tasks!$E$2:$E$300,E$12)</f>
        <v>7</v>
      </c>
      <c r="F22" s="9">
        <f t="shared" si="0"/>
        <v>7</v>
      </c>
    </row>
    <row r="23" spans="1:6" x14ac:dyDescent="0.3">
      <c r="A23" s="19" t="s">
        <v>131</v>
      </c>
      <c r="B23" s="9">
        <f>SUMIFS(Tasks!$D$2:$D$300,Tasks!$B$2:$B$300,$A23,Tasks!$E$2:$E$300,B$12)</f>
        <v>8</v>
      </c>
      <c r="C23" s="9">
        <f>SUMIFS(Tasks!$D$2:$D$300,Tasks!$B$2:$B$300,$A23,Tasks!$E$2:$E$300,C$12)</f>
        <v>0</v>
      </c>
      <c r="D23" s="9">
        <f>SUMIFS(Tasks!$D$2:$D$300,Tasks!$B$2:$B$300,$A23,Tasks!$E$2:$E$300,D$12)</f>
        <v>0</v>
      </c>
      <c r="E23" s="9">
        <f>SUMIFS(Tasks!$D$2:$D$300,Tasks!$B$2:$B$300,$A23,Tasks!$E$2:$E$300,E$12)</f>
        <v>0</v>
      </c>
      <c r="F23" s="9">
        <f t="shared" si="0"/>
        <v>8</v>
      </c>
    </row>
    <row r="24" spans="1:6" x14ac:dyDescent="0.3">
      <c r="A24" s="19" t="s">
        <v>137</v>
      </c>
      <c r="B24" s="9">
        <f>SUMIFS(Tasks!$D$2:$D$300,Tasks!$B$2:$B$300,$A24,Tasks!$E$2:$E$300,B$12)</f>
        <v>12</v>
      </c>
      <c r="C24" s="9">
        <f>SUMIFS(Tasks!$D$2:$D$300,Tasks!$B$2:$B$300,$A24,Tasks!$E$2:$E$300,C$12)</f>
        <v>3</v>
      </c>
      <c r="D24" s="9">
        <f>SUMIFS(Tasks!$D$2:$D$300,Tasks!$B$2:$B$300,$A24,Tasks!$E$2:$E$300,D$12)</f>
        <v>0</v>
      </c>
      <c r="E24" s="9">
        <f>SUMIFS(Tasks!$D$2:$D$300,Tasks!$B$2:$B$300,$A24,Tasks!$E$2:$E$300,E$12)</f>
        <v>0</v>
      </c>
      <c r="F24" s="9">
        <f t="shared" si="0"/>
        <v>15</v>
      </c>
    </row>
    <row r="25" spans="1:6" x14ac:dyDescent="0.3">
      <c r="A25" s="19" t="s">
        <v>149</v>
      </c>
      <c r="B25" s="9">
        <f>SUMIFS(Tasks!$D$2:$D$300,Tasks!$B$2:$B$300,$A25,Tasks!$E$2:$E$300,B$12)</f>
        <v>0</v>
      </c>
      <c r="C25" s="9">
        <f>SUMIFS(Tasks!$D$2:$D$300,Tasks!$B$2:$B$300,$A25,Tasks!$E$2:$E$300,C$12)</f>
        <v>0</v>
      </c>
      <c r="D25" s="9">
        <f>SUMIFS(Tasks!$D$2:$D$300,Tasks!$B$2:$B$300,$A25,Tasks!$E$2:$E$300,D$12)</f>
        <v>4</v>
      </c>
      <c r="E25" s="9">
        <f>SUMIFS(Tasks!$D$2:$D$300,Tasks!$B$2:$B$300,$A25,Tasks!$E$2:$E$300,E$12)</f>
        <v>7</v>
      </c>
      <c r="F25" s="9">
        <f t="shared" si="0"/>
        <v>11</v>
      </c>
    </row>
    <row r="26" spans="1:6" x14ac:dyDescent="0.3">
      <c r="A26" s="19" t="s">
        <v>159</v>
      </c>
      <c r="B26" s="9">
        <f>SUMIFS(Tasks!$D$2:$D$300,Tasks!$B$2:$B$300,$A26,Tasks!$E$2:$E$300,B$12)</f>
        <v>0</v>
      </c>
      <c r="C26" s="9">
        <f>SUMIFS(Tasks!$D$2:$D$300,Tasks!$B$2:$B$300,$A26,Tasks!$E$2:$E$300,C$12)</f>
        <v>6</v>
      </c>
      <c r="D26" s="9">
        <f>SUMIFS(Tasks!$D$2:$D$300,Tasks!$B$2:$B$300,$A26,Tasks!$E$2:$E$300,D$12)</f>
        <v>5</v>
      </c>
      <c r="E26" s="9">
        <f>SUMIFS(Tasks!$D$2:$D$300,Tasks!$B$2:$B$300,$A26,Tasks!$E$2:$E$300,E$12)</f>
        <v>2</v>
      </c>
      <c r="F26" s="9">
        <f t="shared" si="0"/>
        <v>13</v>
      </c>
    </row>
    <row r="27" spans="1:6" x14ac:dyDescent="0.3">
      <c r="A27" s="19" t="s">
        <v>173</v>
      </c>
      <c r="B27" s="9">
        <f>SUMIFS(Tasks!$D$2:$D$300,Tasks!$B$2:$B$300,$A27,Tasks!$E$2:$E$300,B$12)</f>
        <v>6</v>
      </c>
      <c r="C27" s="9">
        <f>SUMIFS(Tasks!$D$2:$D$300,Tasks!$B$2:$B$300,$A27,Tasks!$E$2:$E$300,C$12)</f>
        <v>4</v>
      </c>
      <c r="D27" s="9">
        <f>SUMIFS(Tasks!$D$2:$D$300,Tasks!$B$2:$B$300,$A27,Tasks!$E$2:$E$300,D$12)</f>
        <v>2</v>
      </c>
      <c r="E27" s="9">
        <f>SUMIFS(Tasks!$D$2:$D$300,Tasks!$B$2:$B$300,$A27,Tasks!$E$2:$E$300,E$12)</f>
        <v>2</v>
      </c>
      <c r="F27" s="9">
        <f t="shared" si="0"/>
        <v>14</v>
      </c>
    </row>
    <row r="28" spans="1:6" x14ac:dyDescent="0.3">
      <c r="A28" s="19" t="s">
        <v>186</v>
      </c>
      <c r="B28" s="9">
        <f>SUMIFS(Tasks!$D$2:$D$300,Tasks!$B$2:$B$300,$A28,Tasks!$E$2:$E$300,B$12)</f>
        <v>3</v>
      </c>
      <c r="C28" s="9">
        <f>SUMIFS(Tasks!$D$2:$D$300,Tasks!$B$2:$B$300,$A28,Tasks!$E$2:$E$300,C$12)</f>
        <v>2</v>
      </c>
      <c r="D28" s="9">
        <f>SUMIFS(Tasks!$D$2:$D$300,Tasks!$B$2:$B$300,$A28,Tasks!$E$2:$E$300,D$12)</f>
        <v>4</v>
      </c>
      <c r="E28" s="9">
        <f>SUMIFS(Tasks!$D$2:$D$300,Tasks!$B$2:$B$300,$A28,Tasks!$E$2:$E$300,E$12)</f>
        <v>2</v>
      </c>
      <c r="F28" s="9">
        <f t="shared" si="0"/>
        <v>11</v>
      </c>
    </row>
    <row r="29" spans="1:6" x14ac:dyDescent="0.3">
      <c r="A29" s="14" t="s">
        <v>208</v>
      </c>
      <c r="B29" s="15">
        <f>SUM(B13:B28)</f>
        <v>56</v>
      </c>
      <c r="C29" s="15">
        <f>SUM(C13:C28)</f>
        <v>53</v>
      </c>
      <c r="D29" s="15">
        <f>SUM(D13:D28)</f>
        <v>53</v>
      </c>
      <c r="E29" s="15">
        <f>SUM(E13:E28)</f>
        <v>53</v>
      </c>
      <c r="F29" s="15">
        <f>SUM(F13:F28)</f>
        <v>215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4.4" x14ac:dyDescent="0.3"/>
  <cols>
    <col min="1" max="1" width="18" customWidth="1"/>
    <col min="2" max="2" width="70" customWidth="1"/>
    <col min="3" max="3" width="28" customWidth="1"/>
  </cols>
  <sheetData>
    <row r="1" spans="1:3" x14ac:dyDescent="0.3">
      <c r="A1" s="18" t="s">
        <v>209</v>
      </c>
      <c r="B1" s="18" t="s">
        <v>210</v>
      </c>
      <c r="C1" s="18" t="s">
        <v>211</v>
      </c>
    </row>
    <row r="2" spans="1:3" x14ac:dyDescent="0.3">
      <c r="A2" s="20">
        <v>46327</v>
      </c>
      <c r="B2" s="19" t="s">
        <v>212</v>
      </c>
      <c r="C2" s="19" t="s">
        <v>22</v>
      </c>
    </row>
    <row r="3" spans="1:3" x14ac:dyDescent="0.3">
      <c r="A3" s="20">
        <v>46329</v>
      </c>
      <c r="B3" s="19" t="s">
        <v>213</v>
      </c>
      <c r="C3" s="19" t="s">
        <v>214</v>
      </c>
    </row>
    <row r="4" spans="1:3" x14ac:dyDescent="0.3">
      <c r="A4" s="20">
        <v>46336</v>
      </c>
      <c r="B4" s="19" t="s">
        <v>215</v>
      </c>
      <c r="C4" s="19" t="s">
        <v>216</v>
      </c>
    </row>
    <row r="5" spans="1:3" x14ac:dyDescent="0.3">
      <c r="A5" s="20">
        <v>46340</v>
      </c>
      <c r="B5" s="19" t="s">
        <v>217</v>
      </c>
      <c r="C5" s="19" t="s">
        <v>218</v>
      </c>
    </row>
    <row r="6" spans="1:3" x14ac:dyDescent="0.3">
      <c r="A6" s="20">
        <v>46346</v>
      </c>
      <c r="B6" s="19" t="s">
        <v>219</v>
      </c>
      <c r="C6" s="19" t="s">
        <v>220</v>
      </c>
    </row>
    <row r="7" spans="1:3" x14ac:dyDescent="0.3">
      <c r="A7" s="20">
        <v>46350</v>
      </c>
      <c r="B7" s="19" t="s">
        <v>221</v>
      </c>
      <c r="C7" s="19" t="s">
        <v>222</v>
      </c>
    </row>
    <row r="8" spans="1:3" x14ac:dyDescent="0.3">
      <c r="A8" s="20">
        <v>46354</v>
      </c>
      <c r="B8" s="19" t="s">
        <v>223</v>
      </c>
      <c r="C8" s="19" t="s">
        <v>22</v>
      </c>
    </row>
    <row r="9" spans="1:3" x14ac:dyDescent="0.3">
      <c r="A9" s="20">
        <v>46356</v>
      </c>
      <c r="B9" s="19" t="s">
        <v>224</v>
      </c>
      <c r="C9" s="19" t="s">
        <v>225</v>
      </c>
    </row>
    <row r="10" spans="1:3" x14ac:dyDescent="0.3">
      <c r="A10" s="20">
        <v>46358</v>
      </c>
      <c r="B10" s="19" t="s">
        <v>226</v>
      </c>
      <c r="C10" s="19" t="s">
        <v>227</v>
      </c>
    </row>
    <row r="11" spans="1:3" x14ac:dyDescent="0.3">
      <c r="A11" s="20">
        <v>46359</v>
      </c>
      <c r="B11" s="19" t="s">
        <v>228</v>
      </c>
      <c r="C11" s="19" t="s">
        <v>227</v>
      </c>
    </row>
    <row r="12" spans="1:3" x14ac:dyDescent="0.3">
      <c r="A12" s="20">
        <v>46360</v>
      </c>
      <c r="B12" s="19" t="s">
        <v>229</v>
      </c>
      <c r="C12" s="19" t="s">
        <v>22</v>
      </c>
    </row>
    <row r="13" spans="1:3" x14ac:dyDescent="0.3">
      <c r="A13" s="20">
        <v>46361</v>
      </c>
      <c r="B13" s="19" t="s">
        <v>230</v>
      </c>
      <c r="C13" s="19" t="s">
        <v>22</v>
      </c>
    </row>
    <row r="14" spans="1:3" x14ac:dyDescent="0.3">
      <c r="A14" s="20">
        <v>46362</v>
      </c>
      <c r="B14" s="19" t="s">
        <v>231</v>
      </c>
      <c r="C14" s="19" t="s">
        <v>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Tasks</vt:lpstr>
      <vt:lpstr>Workload</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mido sherif</cp:lastModifiedBy>
  <dcterms:created xsi:type="dcterms:W3CDTF">2026-10-28T19:57:23Z</dcterms:created>
  <dcterms:modified xsi:type="dcterms:W3CDTF">2026-10-28T20:01:22Z</dcterms:modified>
</cp:coreProperties>
</file>